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サマリ" sheetId="1" state="visible" r:id="rId1"/>
    <sheet xmlns:r="http://schemas.openxmlformats.org/officeDocument/2006/relationships" name="01_前提と設定" sheetId="2" state="visible" r:id="rId2"/>
    <sheet xmlns:r="http://schemas.openxmlformats.org/officeDocument/2006/relationships" name="02_LinuxのFD基礎" sheetId="3" state="visible" r:id="rId3"/>
    <sheet xmlns:r="http://schemas.openxmlformats.org/officeDocument/2006/relationships" name="03_障害シナリオ一覧" sheetId="4" state="visible" r:id="rId4"/>
    <sheet xmlns:r="http://schemas.openxmlformats.org/officeDocument/2006/relationships" name="04_タイムライン" sheetId="5" state="visible" r:id="rId5"/>
    <sheet xmlns:r="http://schemas.openxmlformats.org/officeDocument/2006/relationships" name="05_発生確率モデル" sheetId="6" state="visible" r:id="rId6"/>
    <sheet xmlns:r="http://schemas.openxmlformats.org/officeDocument/2006/relationships" name="06_感度分析" sheetId="7" state="visible" r:id="rId7"/>
    <sheet xmlns:r="http://schemas.openxmlformats.org/officeDocument/2006/relationships" name="07_対策案比較" sheetId="8" state="visible" r:id="rId8"/>
    <sheet xmlns:r="http://schemas.openxmlformats.org/officeDocument/2006/relationships" name="08_推奨構成と設定例" sheetId="9" state="visible" r:id="rId9"/>
    <sheet xmlns:r="http://schemas.openxmlformats.org/officeDocument/2006/relationships" name="09_歴史年表" sheetId="10" state="visible" r:id="rId10"/>
    <sheet xmlns:r="http://schemas.openxmlformats.org/officeDocument/2006/relationships" name="10_用語集" sheetId="11" state="visible" r:id="rId11"/>
    <sheet xmlns:r="http://schemas.openxmlformats.org/officeDocument/2006/relationships" name="11_検証と監視" sheetId="12" state="visible" r:id="rId12"/>
    <sheet xmlns:r="http://schemas.openxmlformats.org/officeDocument/2006/relationships" name="12_チェックリスト" sheetId="13" state="visible" r:id="rId13"/>
    <sheet xmlns:r="http://schemas.openxmlformats.org/officeDocument/2006/relationships" name="13_参考情報と要確認" sheetId="14" state="visible" r:id="rId14"/>
  </sheets>
  <definedNames/>
  <calcPr calcId="124519" fullCalcOnLoad="1"/>
</workbook>
</file>

<file path=xl/styles.xml><?xml version="1.0" encoding="utf-8"?>
<styleSheet xmlns="http://schemas.openxmlformats.org/spreadsheetml/2006/main">
  <numFmts count="6">
    <numFmt numFmtId="164" formatCode="0.000"/>
    <numFmt numFmtId="165" formatCode="0.0%"/>
    <numFmt numFmtId="166" formatCode="0.0"/>
    <numFmt numFmtId="167" formatCode="0.000000"/>
    <numFmt numFmtId="168" formatCode="0.0000"/>
    <numFmt numFmtId="169" formatCode="0&quot;秒&quot;"/>
  </numFmts>
  <fonts count="10">
    <font>
      <name val="Calibri"/>
      <family val="2"/>
      <color theme="1"/>
      <sz val="11"/>
      <scheme val="minor"/>
    </font>
    <font>
      <name val="Meiryo"/>
      <b val="1"/>
      <color rgb="001F3864"/>
      <sz val="14"/>
    </font>
    <font>
      <name val="Meiryo"/>
      <color rgb="007F7F7F"/>
      <sz val="9"/>
    </font>
    <font>
      <name val="Meiryo"/>
      <b val="1"/>
      <color rgb="001F3864"/>
      <sz val="11"/>
    </font>
    <font>
      <name val="Meiryo"/>
      <b val="1"/>
      <color rgb="00FFFFFF"/>
      <sz val="10"/>
    </font>
    <font>
      <name val="Meiryo"/>
      <sz val="10"/>
    </font>
    <font>
      <name val="Consolas"/>
      <sz val="9"/>
    </font>
    <font>
      <name val="Meiryo"/>
      <b val="1"/>
      <sz val="10"/>
    </font>
    <font>
      <name val="Meiryo"/>
      <b val="1"/>
      <color rgb="000000FF"/>
      <sz val="10"/>
    </font>
    <font>
      <name val="Meiryo"/>
      <b val="1"/>
      <color rgb="00C00000"/>
      <sz val="10"/>
    </font>
  </fonts>
  <fills count="9">
    <fill>
      <patternFill/>
    </fill>
    <fill>
      <patternFill patternType="gray125"/>
    </fill>
    <fill>
      <patternFill patternType="solid">
        <fgColor rgb="00D9E2F3"/>
      </patternFill>
    </fill>
    <fill>
      <patternFill patternType="solid">
        <fgColor rgb="001F3864"/>
      </patternFill>
    </fill>
    <fill>
      <patternFill patternType="solid">
        <fgColor rgb="00F2F2F2"/>
      </patternFill>
    </fill>
    <fill>
      <patternFill patternType="solid">
        <fgColor rgb="00FCE4D6"/>
      </patternFill>
    </fill>
    <fill>
      <patternFill patternType="solid">
        <fgColor rgb="00F8F8F8"/>
      </patternFill>
    </fill>
    <fill>
      <patternFill patternType="solid">
        <fgColor rgb="00FFFF00"/>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xf>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vertical="top" wrapText="1"/>
    </xf>
    <xf numFmtId="0" fontId="5" fillId="4" borderId="1"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horizontal="center" vertical="center" wrapText="1"/>
    </xf>
    <xf numFmtId="0" fontId="5" fillId="5" borderId="1" applyAlignment="1" pivotButton="0" quotePrefix="0" xfId="0">
      <alignmen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1" fontId="8" fillId="7" borderId="1" applyAlignment="1" pivotButton="0" quotePrefix="0" xfId="0">
      <alignment horizontal="center" vertical="center"/>
    </xf>
    <xf numFmtId="0" fontId="2" fillId="0" borderId="1" applyAlignment="1" pivotButton="0" quotePrefix="0" xfId="0">
      <alignment vertical="top" wrapText="1"/>
    </xf>
    <xf numFmtId="164" fontId="8" fillId="7" borderId="1" applyAlignment="1" pivotButton="0" quotePrefix="0" xfId="0">
      <alignment horizontal="center" vertical="center"/>
    </xf>
    <xf numFmtId="165" fontId="8" fillId="7" borderId="1" applyAlignment="1" pivotButton="0" quotePrefix="0" xfId="0">
      <alignment horizontal="center" vertical="center"/>
    </xf>
    <xf numFmtId="1" fontId="8" fillId="7" borderId="1" applyAlignment="1" pivotButton="0" quotePrefix="0" xfId="0">
      <alignment horizontal="center" vertical="center" wrapText="1"/>
    </xf>
    <xf numFmtId="166"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165" fontId="7" fillId="0" borderId="1" applyAlignment="1" pivotButton="0" quotePrefix="0" xfId="0">
      <alignment horizontal="center" vertical="center" wrapText="1"/>
    </xf>
    <xf numFmtId="166" fontId="7" fillId="0" borderId="1" applyAlignment="1" pivotButton="0" quotePrefix="0" xfId="0">
      <alignment horizontal="center" vertical="center" wrapText="1"/>
    </xf>
    <xf numFmtId="167" fontId="5" fillId="0" borderId="1" applyAlignment="1" pivotButton="0" quotePrefix="0" xfId="0">
      <alignment horizontal="center" vertical="center" wrapText="1"/>
    </xf>
    <xf numFmtId="168" fontId="5" fillId="0" borderId="1" applyAlignment="1" pivotButton="0" quotePrefix="0" xfId="0">
      <alignment horizontal="center" vertical="center" wrapText="1"/>
    </xf>
    <xf numFmtId="166" fontId="5" fillId="4" borderId="1" applyAlignment="1" pivotButton="0" quotePrefix="0" xfId="0">
      <alignment horizontal="center" vertical="center" wrapText="1"/>
    </xf>
    <xf numFmtId="165" fontId="5" fillId="4" borderId="1" applyAlignment="1" pivotButton="0" quotePrefix="0" xfId="0">
      <alignment horizontal="center" vertical="center" wrapText="1"/>
    </xf>
    <xf numFmtId="165" fontId="7" fillId="4" borderId="1" applyAlignment="1" pivotButton="0" quotePrefix="0" xfId="0">
      <alignment horizontal="center" vertical="center" wrapText="1"/>
    </xf>
    <xf numFmtId="166" fontId="7" fillId="4" borderId="1" applyAlignment="1" pivotButton="0" quotePrefix="0" xfId="0">
      <alignment horizontal="center" vertical="center" wrapText="1"/>
    </xf>
    <xf numFmtId="167" fontId="5" fillId="4" borderId="1" applyAlignment="1" pivotButton="0" quotePrefix="0" xfId="0">
      <alignment horizontal="center" vertical="center" wrapText="1"/>
    </xf>
    <xf numFmtId="168" fontId="5" fillId="4" borderId="1" applyAlignment="1" pivotButton="0" quotePrefix="0" xfId="0">
      <alignment horizontal="center" vertical="center" wrapText="1"/>
    </xf>
    <xf numFmtId="0" fontId="0" fillId="5" borderId="1" pivotButton="0" quotePrefix="0" xfId="0"/>
    <xf numFmtId="165" fontId="9" fillId="5" borderId="1" pivotButton="0" quotePrefix="0" xfId="0"/>
    <xf numFmtId="166" fontId="9" fillId="5" borderId="1" pivotButton="0" quotePrefix="0" xfId="0"/>
    <xf numFmtId="0" fontId="7" fillId="0" borderId="1" applyAlignment="1" pivotButton="0" quotePrefix="0" xfId="0">
      <alignment horizontal="center" vertical="center" wrapText="1"/>
    </xf>
    <xf numFmtId="169" fontId="8" fillId="7" borderId="1" applyAlignment="1" pivotButton="0" quotePrefix="0" xfId="0">
      <alignment horizontal="center" vertical="center" wrapText="1"/>
    </xf>
    <xf numFmtId="169" fontId="8" fillId="5" borderId="1" applyAlignment="1" pivotButton="0" quotePrefix="0" xfId="0">
      <alignment horizontal="center" vertical="center" wrapText="1"/>
    </xf>
    <xf numFmtId="166" fontId="5" fillId="5" borderId="1" applyAlignment="1" pivotButton="0" quotePrefix="0" xfId="0">
      <alignment horizontal="center" vertical="center" wrapText="1"/>
    </xf>
    <xf numFmtId="165" fontId="5" fillId="5" borderId="1" applyAlignment="1" pivotButton="0" quotePrefix="0" xfId="0">
      <alignment horizontal="center" vertical="center" wrapText="1"/>
    </xf>
    <xf numFmtId="165" fontId="7" fillId="5" borderId="1" applyAlignment="1" pivotButton="0" quotePrefix="0" xfId="0">
      <alignment horizontal="center" vertical="center" wrapText="1"/>
    </xf>
    <xf numFmtId="0" fontId="9" fillId="5" borderId="1" applyAlignment="1" pivotButton="0" quotePrefix="0" xfId="0">
      <alignment vertical="top" wrapText="1"/>
    </xf>
    <xf numFmtId="0" fontId="5" fillId="8" borderId="1" applyAlignment="1" pivotButton="0" quotePrefix="0" xfId="0">
      <alignment horizontal="center" vertical="center" wrapText="1"/>
    </xf>
    <xf numFmtId="0" fontId="7" fillId="0" borderId="1" applyAlignment="1" pivotButton="0" quotePrefix="0" xfId="0">
      <alignment vertical="top"/>
    </xf>
    <xf numFmtId="0" fontId="5" fillId="8" borderId="1" applyAlignment="1" pivotButton="0" quotePrefix="0" xfId="0">
      <alignment vertical="top" wrapText="1"/>
    </xf>
    <xf numFmtId="0" fontId="6" fillId="0" borderId="1" applyAlignment="1" pivotButton="0" quotePrefix="0" xfId="0">
      <alignment vertical="top" wrapText="1"/>
    </xf>
    <xf numFmtId="0" fontId="6" fillId="4" borderId="1" applyAlignment="1" pivotButton="0" quotePrefix="0" xfId="0">
      <alignment vertical="top" wrapText="1"/>
    </xf>
    <xf numFmtId="0" fontId="5" fillId="7" borderId="1" applyAlignment="1" pivotButton="0" quotePrefix="0" xfId="0">
      <alignment horizontal="center" vertical="center"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分析</author>
  </authors>
  <commentList>
    <comment ref="D5" authorId="0" shapeId="0">
      <text>
        <t>ユーザー提示の前提値（30秒間隔で書き込みが継続）。</t>
      </text>
    </comment>
    <comment ref="D6" authorId="0" shapeId="0">
      <text>
        <t>推定値。EFS のメタデータ操作レイテンシ約1ms×2操作と仮定。実測を推奨します。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C00000"/>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16" customWidth="1" min="3" max="3"/>
    <col width="40" customWidth="1" min="4" max="4"/>
    <col width="34" customWidth="1" min="5" max="5"/>
    <col width="14" customWidth="1" min="6" max="6"/>
  </cols>
  <sheetData>
    <row r="1" ht="24" customHeight="1">
      <c r="A1" s="1" t="inlineStr">
        <is>
          <t>Log4j2 × Amazon EFS × ECS ローリングアップデート — ログFD競合の総括</t>
        </is>
      </c>
    </row>
    <row r="2">
      <c r="A2" s="2" t="inlineStr">
        <is>
          <t>作成日: 2026-09-18 ／ 前提: TimeBasedTriggeringPolicy・filePattern に %d{yyyy-MM-dd-HH}・interval 未指定・EFS 共有・min100%/max200%・毎日00:00デプロイ・30秒間隔書き込み</t>
        </is>
      </c>
    </row>
    <row r="4" ht="20" customHeight="1">
      <c r="A4" s="3" t="inlineStr">
        <is>
          <t>■ 結論</t>
        </is>
      </c>
    </row>
    <row r="5" ht="30" customHeight="1">
      <c r="A5" s="4" t="inlineStr">
        <is>
          <t>#</t>
        </is>
      </c>
      <c r="B5" s="4" t="inlineStr">
        <is>
          <t>結論</t>
        </is>
      </c>
      <c r="C5" s="4" t="inlineStr"/>
      <c r="D5" s="4" t="inlineStr">
        <is>
          <t>根拠・要点</t>
        </is>
      </c>
      <c r="E5" s="4" t="inlineStr">
        <is>
          <t>関連</t>
        </is>
      </c>
      <c r="F5" s="4" t="inlineStr"/>
    </row>
    <row r="6" ht="54" customHeight="1">
      <c r="A6" s="5" t="inlineStr">
        <is>
          <t>1</t>
        </is>
      </c>
      <c r="B6" s="6" t="inlineStr">
        <is>
          <t>新タスクがローテーション前ファイルのFDを掴んだまま残ることは「起こる」</t>
        </is>
      </c>
      <c r="C6" s="6" t="inlineStr"/>
      <c r="D6" s="6" t="inlineStr">
        <is>
          <t>旧タスクの回転(rename)より前に新タスクがファイルを open すれば確実に発生する。旧タスクが後に回転した場合、新タスクは次の正時まで最大1時間、回転済みファイルに書き続ける。</t>
        </is>
      </c>
      <c r="E6" s="6" t="inlineStr">
        <is>
          <t>シナリオB／D</t>
        </is>
      </c>
      <c r="F6" s="6" t="inlineStr"/>
    </row>
    <row r="7" ht="54" customHeight="1">
      <c r="A7" s="7" t="inlineStr">
        <is>
          <t>2</t>
        </is>
      </c>
      <c r="B7" s="8" t="inlineStr">
        <is>
          <t>ただし本丸は別にある：2タスクの同時追記は毎デプロイ100%発生</t>
        </is>
      </c>
      <c r="C7" s="8" t="inlineStr"/>
      <c r="D7" s="8" t="inlineStr">
        <is>
          <t>NFS には「末尾に追記」という手続きが無く、O_APPEND はクライアント側エミュレーション。man 2 open が「複数プロセスが同時追記するとファイルが壊れる」と明記している使い方そのもの。</t>
        </is>
      </c>
      <c r="E7" s="8" t="inlineStr">
        <is>
          <t>シナリオA</t>
        </is>
      </c>
      <c r="F7" s="8" t="inlineStr"/>
    </row>
    <row r="8" ht="54" customHeight="1">
      <c r="A8" s="5" t="inlineStr">
        <is>
          <t>3</t>
        </is>
      </c>
      <c r="B8" s="6" t="inlineStr">
        <is>
          <t>根治策は1つ：同じパスを2つのプロセスに書かせない</t>
        </is>
      </c>
      <c r="C8" s="6" t="inlineStr"/>
      <c r="D8" s="6" t="inlineStr">
        <is>
          <t>(案1) stdout へ出して awslogs/FireLens で送る／(案2) fileName を省略(DirectWrite)＋パスにタスクIDを埋める。どちらもシナリオA〜Fが同時に消滅する。</t>
        </is>
      </c>
      <c r="E8" s="6" t="inlineStr">
        <is>
          <t>案1 / 案2</t>
        </is>
      </c>
      <c r="F8" s="6" t="inlineStr"/>
    </row>
    <row r="10" ht="20" customHeight="1">
      <c r="A10" s="3" t="inlineStr">
        <is>
          <t>■ リスク早見表（1回のデプロイあたり）</t>
        </is>
      </c>
    </row>
    <row r="11" ht="30" customHeight="1">
      <c r="A11" s="4" t="inlineStr">
        <is>
          <t>ID</t>
        </is>
      </c>
      <c r="B11" s="4" t="inlineStr">
        <is>
          <t>事象</t>
        </is>
      </c>
      <c r="C11" s="4" t="inlineStr">
        <is>
          <t>発生確率</t>
        </is>
      </c>
      <c r="D11" s="4" t="inlineStr">
        <is>
          <t>影響</t>
        </is>
      </c>
      <c r="E11" s="4" t="inlineStr">
        <is>
          <t>根本原因（Linux/NFSの性質）</t>
        </is>
      </c>
      <c r="F11" s="4" t="inlineStr">
        <is>
          <t>対策案</t>
        </is>
      </c>
    </row>
    <row r="12" ht="58" customHeight="1">
      <c r="A12" s="5" t="inlineStr">
        <is>
          <t>A</t>
        </is>
      </c>
      <c r="B12" s="6" t="inlineStr">
        <is>
          <t>2タスクが同一 inode に同時追記</t>
        </is>
      </c>
      <c r="C12" s="5" t="inlineStr">
        <is>
          <t>100%（必発）</t>
        </is>
      </c>
      <c r="D12" s="6" t="inlineStr">
        <is>
          <t>行の欠損／行の途中割り込み／NULバイトの穴／ファイルサイズの逆行</t>
        </is>
      </c>
      <c r="E12" s="6" t="inlineStr">
        <is>
          <t>NFS には atomic append が無く、O_APPEND はクライアントがキャッシュ済みサイズで代替する</t>
        </is>
      </c>
      <c r="F12" s="5" t="inlineStr">
        <is>
          <t>1,2,3,5,6</t>
        </is>
      </c>
    </row>
    <row r="13" ht="58" customHeight="1">
      <c r="A13" s="7" t="inlineStr">
        <is>
          <t>B</t>
        </is>
      </c>
      <c r="B13" s="8" t="inlineStr">
        <is>
          <t>新タスクが回転前 inode を掴む</t>
        </is>
      </c>
      <c r="C13" s="7" t="inlineStr">
        <is>
          <t>0〜100%（構成次第・後述）</t>
        </is>
      </c>
      <c r="D13" s="8" t="inlineStr">
        <is>
          <t>0時〜1時のログが「23時ぶん」の回転済みファイルに混入。現行 trace.log は空のまま</t>
        </is>
      </c>
      <c r="E13" s="8" t="inlineStr">
        <is>
          <t>FD は「名前」ではなく inode に結びつくため、rename されても気づかない</t>
        </is>
      </c>
      <c r="F13" s="7" t="inlineStr">
        <is>
          <t>1,2,3,5,6</t>
        </is>
      </c>
    </row>
    <row r="14" ht="58" customHeight="1">
      <c r="A14" s="5" t="inlineStr">
        <is>
          <t>C</t>
        </is>
      </c>
      <c r="B14" s="6" t="inlineStr">
        <is>
          <t>rename〜create の隙間で open</t>
        </is>
      </c>
      <c r="C14" s="5" t="inlineStr">
        <is>
          <t>約 10^-5（数十年に1回）</t>
        </is>
      </c>
      <c r="D14" s="6" t="inlineStr">
        <is>
          <t>二重 inode が生まれ、以後シナリオAと同じ2重書き込みになる</t>
        </is>
      </c>
      <c r="E14" s="6" t="inlineStr">
        <is>
          <t>rename と create-after-rename は原子的なペアではない（EFSで1〜5ms の窓）</t>
        </is>
      </c>
      <c r="F14" s="5" t="inlineStr">
        <is>
          <t>1,2,3,5,6</t>
        </is>
      </c>
    </row>
    <row r="15" ht="58" customHeight="1">
      <c r="A15" s="7" t="inlineStr">
        <is>
          <t>D</t>
        </is>
      </c>
      <c r="B15" s="8" t="inlineStr">
        <is>
          <t>rename 衝突で回転済みファイルが消える</t>
        </is>
      </c>
      <c r="C15" s="7" t="inlineStr">
        <is>
          <t>≒ シナリオB と同じ</t>
        </is>
      </c>
      <c r="D15" s="8" t="inlineStr">
        <is>
          <t>先に回転した側が作った回転済みファイルが丸ごと上書き消滅する</t>
        </is>
      </c>
      <c r="E15" s="8" t="inlineStr">
        <is>
          <t>POSIX の rename は移動先が存在しても黙って上書きする（エラーにならない）</t>
        </is>
      </c>
      <c r="F15" s="7" t="inlineStr">
        <is>
          <t>1,2,3,5,6</t>
        </is>
      </c>
    </row>
    <row r="16" ht="58" customHeight="1">
      <c r="A16" s="5" t="inlineStr">
        <is>
          <t>E</t>
        </is>
      </c>
      <c r="B16" s="6" t="inlineStr">
        <is>
          <t>gz圧縮 と FD保持 の競合 / .nfs* リーク</t>
        </is>
      </c>
      <c r="C16" s="5" t="inlineStr">
        <is>
          <t>圧縮設定時、Dが起きれば高確率</t>
        </is>
      </c>
      <c r="D16" s="6" t="inlineStr">
        <is>
          <t>途中で切れた gz／.nfs0000... が残り ls で見えるのに消せない／EFS 容量課金の増加</t>
        </is>
      </c>
      <c r="E16" s="6" t="inlineStr">
        <is>
          <t>NFS の silly rename（使用中ファイルの削除を隠しファイルへの改名で代替）</t>
        </is>
      </c>
      <c r="F16" s="5" t="inlineStr">
        <is>
          <t>1,2,3,5,6</t>
        </is>
      </c>
    </row>
    <row r="17" ht="58" customHeight="1">
      <c r="A17" s="7" t="inlineStr">
        <is>
          <t>F</t>
        </is>
      </c>
      <c r="B17" s="8" t="inlineStr">
        <is>
          <t>無書き込み期間をまたいだ古い名前での回転</t>
        </is>
      </c>
      <c r="C17" s="7" t="inlineStr">
        <is>
          <t>平常時は低（起動直後は要注意）</t>
        </is>
      </c>
      <c r="D17" s="8" t="inlineStr">
        <is>
          <t>何時間も前の名前で1回だけ回転し、既存の同名ファイルを上書きする</t>
        </is>
      </c>
      <c r="E17" s="8" t="inlineStr">
        <is>
          <t>ロールオーバはタイマーではなく「次のログ出力」で判定される</t>
        </is>
      </c>
      <c r="F17" s="7" t="inlineStr">
        <is>
          <t>1,2,3,5,6</t>
        </is>
      </c>
    </row>
    <row r="19" ht="20" customHeight="1">
      <c r="A19" s="3" t="inlineStr">
        <is>
          <t>■ 推奨アクション（実施順）</t>
        </is>
      </c>
    </row>
    <row r="20" ht="30" customHeight="1">
      <c r="A20" s="4" t="inlineStr">
        <is>
          <t>STEP</t>
        </is>
      </c>
      <c r="B20" s="4" t="inlineStr">
        <is>
          <t>アクション</t>
        </is>
      </c>
      <c r="C20" s="4" t="inlineStr">
        <is>
          <t>期間目安</t>
        </is>
      </c>
      <c r="D20" s="4" t="inlineStr">
        <is>
          <t>内容</t>
        </is>
      </c>
      <c r="E20" s="4" t="inlineStr">
        <is>
          <t>効果</t>
        </is>
      </c>
      <c r="F20" s="4" t="inlineStr">
        <is>
          <t>シート</t>
        </is>
      </c>
    </row>
    <row r="21" ht="34" customHeight="1">
      <c r="A21" s="5" t="inlineStr">
        <is>
          <t>0</t>
        </is>
      </c>
      <c r="B21" s="6" t="inlineStr">
        <is>
          <t>デプロイ時刻を 00:00 → 00:20 へ移動</t>
        </is>
      </c>
      <c r="C21" s="5" t="inlineStr">
        <is>
          <t>当日</t>
        </is>
      </c>
      <c r="D21" s="6" t="inlineStr">
        <is>
          <t>重複期間が毎正時をまたがないようにする応急処置</t>
        </is>
      </c>
      <c r="E21" s="6" t="inlineStr">
        <is>
          <t>B/D の確率を大きく低減（Aは残る）</t>
        </is>
      </c>
      <c r="F21" s="6" t="inlineStr">
        <is>
          <t>07</t>
        </is>
      </c>
    </row>
    <row r="22" ht="34" customHeight="1">
      <c r="A22" s="7" t="inlineStr">
        <is>
          <t>1</t>
        </is>
      </c>
      <c r="B22" s="8" t="inlineStr">
        <is>
          <t>interval="1" を明示、意図をコメント化</t>
        </is>
      </c>
      <c r="C22" s="7" t="inlineStr">
        <is>
          <t>当日</t>
        </is>
      </c>
      <c r="D22" s="8" t="inlineStr">
        <is>
          <t>挙動は変わらないが「周期は %d の最小単位で決まる」罠を設定ファイルに残す</t>
        </is>
      </c>
      <c r="E22" s="8" t="inlineStr">
        <is>
          <t>再発防止（可読性）</t>
        </is>
      </c>
      <c r="F22" s="8" t="inlineStr">
        <is>
          <t>07,08</t>
        </is>
      </c>
    </row>
    <row r="23" ht="34" customHeight="1">
      <c r="A23" s="5" t="inlineStr">
        <is>
          <t>2</t>
        </is>
      </c>
      <c r="B23" s="6" t="inlineStr">
        <is>
          <t>監視の追加（FD／.nfs*／混入／欠損）</t>
        </is>
      </c>
      <c r="C23" s="5" t="inlineStr">
        <is>
          <t>1週間</t>
        </is>
      </c>
      <c r="D23" s="6" t="inlineStr">
        <is>
          <t>現状の事故発生率を実測してから対策方式を決める</t>
        </is>
      </c>
      <c r="E23" s="6" t="inlineStr">
        <is>
          <t>検知（是正はしない）</t>
        </is>
      </c>
      <c r="F23" s="6" t="inlineStr">
        <is>
          <t>11</t>
        </is>
      </c>
    </row>
    <row r="24" ht="34" customHeight="1">
      <c r="A24" s="7" t="inlineStr">
        <is>
          <t>3</t>
        </is>
      </c>
      <c r="B24" s="8" t="inlineStr">
        <is>
          <t>本対策の方式決定と実装</t>
        </is>
      </c>
      <c r="C24" s="7" t="inlineStr">
        <is>
          <t>2〜4週間</t>
        </is>
      </c>
      <c r="D24" s="8" t="inlineStr">
        <is>
          <t>案1（stdout+FireLens）または案2（DirectWrite+タスクID別パス）</t>
        </is>
      </c>
      <c r="E24" s="8" t="inlineStr">
        <is>
          <t>シナリオA〜F が原理的に消滅</t>
        </is>
      </c>
      <c r="F24" s="8" t="inlineStr">
        <is>
          <t>07,08</t>
        </is>
      </c>
    </row>
    <row r="25" ht="34" customHeight="1">
      <c r="A25" s="5" t="inlineStr">
        <is>
          <t>4</t>
        </is>
      </c>
      <c r="B25" s="6" t="inlineStr">
        <is>
          <t>ログ収集側の改修</t>
        </is>
      </c>
      <c r="C25" s="5" t="inlineStr">
        <is>
          <t>STEP3と並行</t>
        </is>
      </c>
      <c r="D25" s="6" t="inlineStr">
        <is>
          <t>EFS 直読みバッチ・Fluentd の glob を新パス構成に合わせる</t>
        </is>
      </c>
      <c r="E25" s="6" t="inlineStr">
        <is>
          <t>—</t>
        </is>
      </c>
      <c r="F25" s="6" t="inlineStr">
        <is>
          <t>08</t>
        </is>
      </c>
    </row>
    <row r="26" ht="34" customHeight="1">
      <c r="A26" s="7" t="inlineStr">
        <is>
          <t>5</t>
        </is>
      </c>
      <c r="B26" s="8" t="inlineStr">
        <is>
          <t>ステージングで時境界をまたぐデプロイ検証</t>
        </is>
      </c>
      <c r="C26" s="7" t="inlineStr">
        <is>
          <t>1週間</t>
        </is>
      </c>
      <c r="D26" s="8" t="inlineStr">
        <is>
          <t>意図的に 00:00 直前にローリングアップデートを実行して再現しないことを確認</t>
        </is>
      </c>
      <c r="E26" s="8" t="inlineStr">
        <is>
          <t>回帰防止</t>
        </is>
      </c>
      <c r="F26" s="8" t="inlineStr">
        <is>
          <t>11</t>
        </is>
      </c>
    </row>
    <row r="27" ht="34" customHeight="1">
      <c r="A27" s="5" t="inlineStr">
        <is>
          <t>6</t>
        </is>
      </c>
      <c r="B27" s="6" t="inlineStr">
        <is>
          <t>本番適用 → 1週間モニタ → STEP0 を戻すか判断</t>
        </is>
      </c>
      <c r="C27" s="5" t="inlineStr">
        <is>
          <t>1週間</t>
        </is>
      </c>
      <c r="D27" s="6" t="inlineStr">
        <is>
          <t>STEP2 の監視で回帰がないことを確認</t>
        </is>
      </c>
      <c r="E27" s="6" t="inlineStr">
        <is>
          <t>—</t>
        </is>
      </c>
      <c r="F27" s="6" t="inlineStr">
        <is>
          <t>12</t>
        </is>
      </c>
    </row>
    <row r="29">
      <c r="A29" s="2" t="inlineStr">
        <is>
          <t>※ 確率値はモデルによる推定であり実測値ではありません。パラメータは「05_発生確率モデル」シートで編集できます。</t>
        </is>
      </c>
    </row>
  </sheetData>
  <mergeCells count="6">
    <mergeCell ref="A2:F2"/>
    <mergeCell ref="A10:F10"/>
    <mergeCell ref="A19:F19"/>
    <mergeCell ref="A1:F1"/>
    <mergeCell ref="A4:F4"/>
    <mergeCell ref="A29:F29"/>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E39"/>
  <sheetViews>
    <sheetView showGridLines="0" workbookViewId="0">
      <pane ySplit="3" topLeftCell="A4" activePane="bottomLeft" state="frozen"/>
      <selection pane="bottomLeft" activeCell="A1" sqref="A1"/>
    </sheetView>
  </sheetViews>
  <sheetFormatPr baseColWidth="8" defaultRowHeight="15"/>
  <cols>
    <col width="6" customWidth="1" min="1" max="1"/>
    <col width="26" customWidth="1" min="2" max="2"/>
    <col width="30" customWidth="1" min="3" max="3"/>
    <col width="14" customWidth="1" min="4" max="4"/>
    <col width="52" customWidth="1" min="5" max="5"/>
  </cols>
  <sheetData>
    <row r="1" ht="24" customHeight="1">
      <c r="A1" s="1" t="inlineStr">
        <is>
          <t>前提条件と Log4j2 設定の読み解き</t>
        </is>
      </c>
    </row>
    <row r="3" ht="20" customHeight="1">
      <c r="A3" s="3" t="inlineStr">
        <is>
          <t>■ 前提</t>
        </is>
      </c>
    </row>
    <row r="4" ht="30" customHeight="1">
      <c r="A4" s="4" t="inlineStr">
        <is>
          <t>#</t>
        </is>
      </c>
      <c r="B4" s="4" t="inlineStr">
        <is>
          <t>項目</t>
        </is>
      </c>
      <c r="C4" s="4" t="inlineStr">
        <is>
          <t>設定値</t>
        </is>
      </c>
      <c r="D4" s="4" t="inlineStr">
        <is>
          <t>既定値</t>
        </is>
      </c>
      <c r="E4" s="4" t="inlineStr">
        <is>
          <t>備考・効いてくるポイント</t>
        </is>
      </c>
    </row>
    <row r="5" ht="30" customHeight="1">
      <c r="A5" s="5" t="inlineStr">
        <is>
          <t>1</t>
        </is>
      </c>
      <c r="B5" s="6" t="inlineStr">
        <is>
          <t>ロガー</t>
        </is>
      </c>
      <c r="C5" s="6" t="inlineStr">
        <is>
          <t>Log4j 2 RollingFileAppender</t>
        </is>
      </c>
      <c r="D5" s="5" t="inlineStr">
        <is>
          <t>—</t>
        </is>
      </c>
      <c r="E5" s="6" t="inlineStr">
        <is>
          <t>プロセス内はスレッドセーフ。プロセス間（複数JVM）の排他機構は持たない</t>
        </is>
      </c>
    </row>
    <row r="6" ht="30" customHeight="1">
      <c r="A6" s="7" t="inlineStr">
        <is>
          <t>2</t>
        </is>
      </c>
      <c r="B6" s="8" t="inlineStr">
        <is>
          <t>fileName</t>
        </is>
      </c>
      <c r="C6" s="8" t="inlineStr">
        <is>
          <t>/mnt/efs/logs/trace.log（仮）</t>
        </is>
      </c>
      <c r="D6" s="7" t="inlineStr">
        <is>
          <t>—</t>
        </is>
      </c>
      <c r="E6" s="8" t="inlineStr">
        <is>
          <t>JVM起動時に1回 open され、ロールオーバまで閉じられない＝FDが何時間も生き続ける</t>
        </is>
      </c>
    </row>
    <row r="7" ht="30" customHeight="1">
      <c r="A7" s="5" t="inlineStr">
        <is>
          <t>3</t>
        </is>
      </c>
      <c r="B7" s="6" t="inlineStr">
        <is>
          <t>filePattern</t>
        </is>
      </c>
      <c r="C7" s="6" t="inlineStr">
        <is>
          <t>…/trace-%d{yyyy-MM-dd-HH}.log（仮）</t>
        </is>
      </c>
      <c r="D7" s="5" t="inlineStr">
        <is>
          <t>—</t>
        </is>
      </c>
      <c r="E7" s="6" t="inlineStr">
        <is>
          <t>★ここに含まれる %d の最小単位がロール周期を決める</t>
        </is>
      </c>
    </row>
    <row r="8" ht="30" customHeight="1">
      <c r="A8" s="7" t="inlineStr">
        <is>
          <t>4</t>
        </is>
      </c>
      <c r="B8" s="8" t="inlineStr">
        <is>
          <t>トリガポリシー</t>
        </is>
      </c>
      <c r="C8" s="8" t="inlineStr">
        <is>
          <t>TimeBasedTriggeringPolicy</t>
        </is>
      </c>
      <c r="D8" s="7" t="inlineStr">
        <is>
          <t>—</t>
        </is>
      </c>
      <c r="E8" s="8" t="inlineStr">
        <is>
          <t>時刻でロールオーバを起こす</t>
        </is>
      </c>
    </row>
    <row r="9" ht="30" customHeight="1">
      <c r="A9" s="5" t="inlineStr">
        <is>
          <t>5</t>
        </is>
      </c>
      <c r="B9" s="6" t="inlineStr">
        <is>
          <t>interval</t>
        </is>
      </c>
      <c r="C9" s="6" t="inlineStr">
        <is>
          <t>未指定</t>
        </is>
      </c>
      <c r="D9" s="5" t="inlineStr">
        <is>
          <t>1</t>
        </is>
      </c>
      <c r="E9" s="6" t="inlineStr">
        <is>
          <t>「設定していない＝ロールしない」ではない。既定で 1 単位ごとにロールする</t>
        </is>
      </c>
    </row>
    <row r="10" ht="30" customHeight="1">
      <c r="A10" s="7" t="inlineStr">
        <is>
          <t>6</t>
        </is>
      </c>
      <c r="B10" s="8" t="inlineStr">
        <is>
          <t>実際のロール周期</t>
        </is>
      </c>
      <c r="C10" s="8" t="inlineStr">
        <is>
          <t>1時間</t>
        </is>
      </c>
      <c r="D10" s="7" t="inlineStr">
        <is>
          <t>—</t>
        </is>
      </c>
      <c r="E10" s="8" t="inlineStr">
        <is>
          <t>%d に H があるため HOURLY 判定。0時だけでなく毎正時に rename が走る</t>
        </is>
      </c>
    </row>
    <row r="11" ht="30" customHeight="1">
      <c r="A11" s="5" t="inlineStr">
        <is>
          <t>7</t>
        </is>
      </c>
      <c r="B11" s="6" t="inlineStr">
        <is>
          <t>modulate</t>
        </is>
      </c>
      <c r="C11" s="6" t="inlineStr">
        <is>
          <t>未指定</t>
        </is>
      </c>
      <c r="D11" s="5" t="inlineStr">
        <is>
          <t>false</t>
        </is>
      </c>
      <c r="E11" s="6" t="inlineStr">
        <is>
          <t>interval が 2 以上のとき境界を単位の倍数に揃えるオプション。interval=1 では実質無影響</t>
        </is>
      </c>
    </row>
    <row r="12" ht="30" customHeight="1">
      <c r="A12" s="7" t="inlineStr">
        <is>
          <t>8</t>
        </is>
      </c>
      <c r="B12" s="8" t="inlineStr">
        <is>
          <t>bufferedIO</t>
        </is>
      </c>
      <c r="C12" s="8" t="inlineStr">
        <is>
          <t>未指定（想定）</t>
        </is>
      </c>
      <c r="D12" s="7" t="inlineStr">
        <is>
          <t>true</t>
        </is>
      </c>
      <c r="E12" s="8" t="inlineStr">
        <is>
          <t>8KB バッファに溜まるため「いつサーバへ届いたか」がさらに曖昧になる</t>
        </is>
      </c>
    </row>
    <row r="13" ht="30" customHeight="1">
      <c r="A13" s="5" t="inlineStr">
        <is>
          <t>9</t>
        </is>
      </c>
      <c r="B13" s="6" t="inlineStr">
        <is>
          <t>immediateFlush</t>
        </is>
      </c>
      <c r="C13" s="6" t="inlineStr">
        <is>
          <t>未指定（想定）</t>
        </is>
      </c>
      <c r="D13" s="5" t="inlineStr">
        <is>
          <t>true</t>
        </is>
      </c>
      <c r="E13" s="6" t="inlineStr">
        <is>
          <t>イベントごとに flush するが、NFS の追記競合は解決しない</t>
        </is>
      </c>
    </row>
    <row r="14" ht="30" customHeight="1">
      <c r="A14" s="7" t="inlineStr">
        <is>
          <t>10</t>
        </is>
      </c>
      <c r="B14" s="8" t="inlineStr">
        <is>
          <t>ignoreExceptions</t>
        </is>
      </c>
      <c r="C14" s="8" t="inlineStr">
        <is>
          <t>未指定（想定）</t>
        </is>
      </c>
      <c r="D14" s="7" t="inlineStr">
        <is>
          <t>true</t>
        </is>
      </c>
      <c r="E14" s="8" t="inlineStr">
        <is>
          <t>アペンダ内の例外はアプリに伝播しない＝静かに壊れる</t>
        </is>
      </c>
    </row>
    <row r="15" ht="30" customHeight="1">
      <c r="A15" s="5" t="inlineStr">
        <is>
          <t>11</t>
        </is>
      </c>
      <c r="B15" s="6" t="inlineStr">
        <is>
          <t>ストレージ</t>
        </is>
      </c>
      <c r="C15" s="6" t="inlineStr">
        <is>
          <t>Amazon EFS（NFSv4.1）</t>
        </is>
      </c>
      <c r="D15" s="5" t="inlineStr">
        <is>
          <t>—</t>
        </is>
      </c>
      <c r="E15" s="6" t="inlineStr">
        <is>
          <t>複数タスクが同一ディレクトリをマウント</t>
        </is>
      </c>
    </row>
    <row r="16" ht="30" customHeight="1">
      <c r="A16" s="7" t="inlineStr">
        <is>
          <t>12</t>
        </is>
      </c>
      <c r="B16" s="8" t="inlineStr">
        <is>
          <t>ECS デプロイ</t>
        </is>
      </c>
      <c r="C16" s="8" t="inlineStr">
        <is>
          <t>min 100% / max 200%</t>
        </is>
      </c>
      <c r="D16" s="7" t="inlineStr">
        <is>
          <t>min100/max200</t>
        </is>
      </c>
      <c r="E16" s="8" t="inlineStr">
        <is>
          <t>★旧タスクと新タスクが必ず同時に存在する時間帯が生まれる</t>
        </is>
      </c>
    </row>
    <row r="17" ht="30" customHeight="1">
      <c r="A17" s="5" t="inlineStr">
        <is>
          <t>13</t>
        </is>
      </c>
      <c r="B17" s="6" t="inlineStr">
        <is>
          <t>デプロイ時刻</t>
        </is>
      </c>
      <c r="C17" s="6" t="inlineStr">
        <is>
          <t>毎日 00:00</t>
        </is>
      </c>
      <c r="D17" s="5" t="inlineStr">
        <is>
          <t>—</t>
        </is>
      </c>
      <c r="E17" s="6" t="inlineStr">
        <is>
          <t>ロールオーバ境界とデプロイが重なる</t>
        </is>
      </c>
    </row>
    <row r="18" ht="30" customHeight="1">
      <c r="A18" s="7" t="inlineStr">
        <is>
          <t>14</t>
        </is>
      </c>
      <c r="B18" s="8" t="inlineStr">
        <is>
          <t>ログ書き込み</t>
        </is>
      </c>
      <c r="C18" s="8" t="inlineStr">
        <is>
          <t>30秒間隔で継続</t>
        </is>
      </c>
      <c r="D18" s="7" t="inlineStr">
        <is>
          <t>—</t>
        </is>
      </c>
      <c r="E18" s="8" t="inlineStr">
        <is>
          <t>★ロールオーバは「次のログ出力」で起きるので、実際の回転は 00:00:00＋0〜30秒</t>
        </is>
      </c>
    </row>
    <row r="20" ht="20" customHeight="1">
      <c r="A20" s="3" t="inlineStr">
        <is>
          <t>■ %d パターンからロール周期がどう決まるか（PatternProcessor の判定）</t>
        </is>
      </c>
    </row>
    <row r="21" ht="30" customHeight="1">
      <c r="A21" s="4" t="inlineStr">
        <is>
          <t>#</t>
        </is>
      </c>
      <c r="B21" s="4" t="inlineStr">
        <is>
          <t>パターン中の文字</t>
        </is>
      </c>
      <c r="C21" s="4" t="inlineStr">
        <is>
          <t>判定される頻度</t>
        </is>
      </c>
      <c r="D21" s="4" t="inlineStr">
        <is>
          <t>今回</t>
        </is>
      </c>
      <c r="E21" s="4" t="inlineStr">
        <is>
          <t>例</t>
        </is>
      </c>
    </row>
    <row r="22" ht="18" customHeight="1">
      <c r="A22" s="5" t="inlineStr">
        <is>
          <t>1</t>
        </is>
      </c>
      <c r="B22" s="5" t="inlineStr">
        <is>
          <t>S</t>
        </is>
      </c>
      <c r="C22" s="5" t="inlineStr">
        <is>
          <t>MILLISECONDLY</t>
        </is>
      </c>
      <c r="D22" s="5" t="inlineStr"/>
      <c r="E22" s="6" t="inlineStr">
        <is>
          <t>%d{yyyy-MM-dd-HH-mm-ss-SSS}</t>
        </is>
      </c>
    </row>
    <row r="23" ht="18" customHeight="1">
      <c r="A23" s="7" t="inlineStr">
        <is>
          <t>2</t>
        </is>
      </c>
      <c r="B23" s="7" t="inlineStr">
        <is>
          <t>s</t>
        </is>
      </c>
      <c r="C23" s="7" t="inlineStr">
        <is>
          <t>SECONDLY</t>
        </is>
      </c>
      <c r="D23" s="7" t="inlineStr"/>
      <c r="E23" s="8" t="inlineStr">
        <is>
          <t>%d{yyyy-MM-dd-HH-mm-ss}</t>
        </is>
      </c>
    </row>
    <row r="24" ht="18" customHeight="1">
      <c r="A24" s="5" t="inlineStr">
        <is>
          <t>3</t>
        </is>
      </c>
      <c r="B24" s="5" t="inlineStr">
        <is>
          <t>m</t>
        </is>
      </c>
      <c r="C24" s="5" t="inlineStr">
        <is>
          <t>MINUTELY</t>
        </is>
      </c>
      <c r="D24" s="5" t="inlineStr"/>
      <c r="E24" s="6" t="inlineStr">
        <is>
          <t>%d{yyyy-MM-dd-HH-mm}</t>
        </is>
      </c>
    </row>
    <row r="25" ht="18" customHeight="1">
      <c r="A25" s="9" t="inlineStr">
        <is>
          <t>4</t>
        </is>
      </c>
      <c r="B25" s="9" t="inlineStr">
        <is>
          <t>H / K / h / k</t>
        </is>
      </c>
      <c r="C25" s="9" t="inlineStr">
        <is>
          <t>HOURLY</t>
        </is>
      </c>
      <c r="D25" s="9" t="inlineStr">
        <is>
          <t>★該当</t>
        </is>
      </c>
      <c r="E25" s="10" t="inlineStr">
        <is>
          <t>%d{yyyy-MM-dd-HH} ← 今回の設定</t>
        </is>
      </c>
    </row>
    <row r="26" ht="18" customHeight="1">
      <c r="A26" s="5" t="inlineStr">
        <is>
          <t>5</t>
        </is>
      </c>
      <c r="B26" s="5" t="inlineStr">
        <is>
          <t>a</t>
        </is>
      </c>
      <c r="C26" s="5" t="inlineStr">
        <is>
          <t>HALFDAILY</t>
        </is>
      </c>
      <c r="D26" s="5" t="inlineStr"/>
      <c r="E26" s="6" t="inlineStr">
        <is>
          <t>%d{yyyy-MM-dd-a}</t>
        </is>
      </c>
    </row>
    <row r="27" ht="18" customHeight="1">
      <c r="A27" s="7" t="inlineStr">
        <is>
          <t>6</t>
        </is>
      </c>
      <c r="B27" s="7" t="inlineStr">
        <is>
          <t>d / D / F / E</t>
        </is>
      </c>
      <c r="C27" s="7" t="inlineStr">
        <is>
          <t>DAILY</t>
        </is>
      </c>
      <c r="D27" s="7" t="inlineStr"/>
      <c r="E27" s="8" t="inlineStr">
        <is>
          <t>%d{yyyy-MM-dd}</t>
        </is>
      </c>
    </row>
    <row r="28" ht="18" customHeight="1">
      <c r="A28" s="5" t="inlineStr">
        <is>
          <t>7</t>
        </is>
      </c>
      <c r="B28" s="5" t="inlineStr">
        <is>
          <t>W / w</t>
        </is>
      </c>
      <c r="C28" s="5" t="inlineStr">
        <is>
          <t>WEEKLY</t>
        </is>
      </c>
      <c r="D28" s="5" t="inlineStr"/>
      <c r="E28" s="6" t="inlineStr">
        <is>
          <t>%d{yyyy-ww}</t>
        </is>
      </c>
    </row>
    <row r="29" ht="18" customHeight="1">
      <c r="A29" s="7" t="inlineStr">
        <is>
          <t>8</t>
        </is>
      </c>
      <c r="B29" s="7" t="inlineStr">
        <is>
          <t>M</t>
        </is>
      </c>
      <c r="C29" s="7" t="inlineStr">
        <is>
          <t>MONTHLY</t>
        </is>
      </c>
      <c r="D29" s="7" t="inlineStr"/>
      <c r="E29" s="8" t="inlineStr">
        <is>
          <t>%d{yyyy-MM}</t>
        </is>
      </c>
    </row>
    <row r="30" ht="18" customHeight="1">
      <c r="A30" s="5" t="inlineStr">
        <is>
          <t>9</t>
        </is>
      </c>
      <c r="B30" s="5" t="inlineStr">
        <is>
          <t>y / Y</t>
        </is>
      </c>
      <c r="C30" s="5" t="inlineStr">
        <is>
          <t>ANNUALLY</t>
        </is>
      </c>
      <c r="D30" s="5" t="inlineStr"/>
      <c r="E30" s="6" t="inlineStr">
        <is>
          <t>%d{yyyy}</t>
        </is>
      </c>
    </row>
    <row r="32">
      <c r="A32" s="2" t="inlineStr">
        <is>
          <t>出典: Apache Log4j 2 公式マニュアル「Appenders / RollingFileAppender」および PatternProcessor の実装。正確な判定順は使用中のバージョンで確認してください（要確認）。</t>
        </is>
      </c>
    </row>
    <row r="34" ht="20" customHeight="1">
      <c r="A34" s="3" t="inlineStr">
        <is>
          <t>■ 「次の回転時刻」の初期値がどう決まるか</t>
        </is>
      </c>
    </row>
    <row r="35" ht="30" customHeight="1">
      <c r="A35" s="4" t="inlineStr">
        <is>
          <t>#</t>
        </is>
      </c>
      <c r="B35" s="4" t="inlineStr">
        <is>
          <t>新タスクが読んだ lastModified</t>
        </is>
      </c>
      <c r="C35" s="4" t="inlineStr">
        <is>
          <t>計算される次回回転時刻</t>
        </is>
      </c>
      <c r="D35" s="4" t="inlineStr">
        <is>
          <t>結果</t>
        </is>
      </c>
      <c r="E35" s="4" t="inlineStr">
        <is>
          <t>意味</t>
        </is>
      </c>
    </row>
    <row r="36" ht="32" customHeight="1">
      <c r="A36" s="5" t="inlineStr">
        <is>
          <t>1</t>
        </is>
      </c>
      <c r="B36" s="6" t="inlineStr">
        <is>
          <t>23:59:52（旧タスクの回転前）</t>
        </is>
      </c>
      <c r="C36" s="6" t="inlineStr">
        <is>
          <t>00:00:00</t>
        </is>
      </c>
      <c r="D36" s="5" t="inlineStr">
        <is>
          <t>もう過ぎている</t>
        </is>
      </c>
      <c r="E36" s="6" t="inlineStr">
        <is>
          <t>新タスクは最初の書き込みで即ロールオーバする → シナリオD（rename衝突）へ</t>
        </is>
      </c>
    </row>
    <row r="37" ht="32" customHeight="1">
      <c r="A37" s="7" t="inlineStr">
        <is>
          <t>2</t>
        </is>
      </c>
      <c r="B37" s="8" t="inlineStr">
        <is>
          <t>00:00:07（旧タスクの回転後）</t>
        </is>
      </c>
      <c r="C37" s="8" t="inlineStr">
        <is>
          <t>01:00:00</t>
        </is>
      </c>
      <c r="D37" s="7" t="inlineStr">
        <is>
          <t>正常</t>
        </is>
      </c>
      <c r="E37" s="8" t="inlineStr">
        <is>
          <t>新タスクは旧タスクと同じ inode を共有する → シナリオA（同時追記）へ</t>
        </is>
      </c>
    </row>
    <row r="39" ht="70" customHeight="1">
      <c r="A39" s="11" t="inlineStr">
        <is>
          <t>// RollingFileManager の概念コード
long initialTime = file.exists() ? file.lastModified() : System.currentTimeMillis();
nextRolloverMillis = patternProcessor.getNextTime(initialTime, interval, modulate);
//  getNextTime() は initialTime をパターンの精度で切り捨ててから interval を足す</t>
        </is>
      </c>
      <c r="B39" s="12" t="n"/>
      <c r="C39" s="12" t="n"/>
      <c r="D39" s="12" t="n"/>
      <c r="E39" s="13" t="n"/>
    </row>
  </sheetData>
  <mergeCells count="6">
    <mergeCell ref="A39:E39"/>
    <mergeCell ref="A34:E34"/>
    <mergeCell ref="A20:E20"/>
    <mergeCell ref="A1:E1"/>
    <mergeCell ref="A32:E32"/>
    <mergeCell ref="A3:E3"/>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6" customWidth="1" min="1" max="1"/>
    <col width="22" customWidth="1" min="2" max="2"/>
    <col width="44" customWidth="1" min="3" max="3"/>
    <col width="40" customWidth="1" min="4" max="4"/>
    <col width="34" customWidth="1" min="5" max="5"/>
  </cols>
  <sheetData>
    <row r="1" ht="24" customHeight="1">
      <c r="A1" s="1" t="inlineStr">
        <is>
          <t>Linux の FD（ファイルディスクリプタ）の挙動 — 全ての事故の原理</t>
        </is>
      </c>
    </row>
    <row r="3" ht="20" customHeight="1">
      <c r="A3" s="3" t="inlineStr">
        <is>
          <t>■ FD は「3段構造」になっている</t>
        </is>
      </c>
    </row>
    <row r="4" ht="30" customHeight="1">
      <c r="A4" s="4" t="inlineStr">
        <is>
          <t>段</t>
        </is>
      </c>
      <c r="B4" s="4" t="inlineStr">
        <is>
          <t>名前</t>
        </is>
      </c>
      <c r="C4" s="4" t="inlineStr">
        <is>
          <t>誰のものか</t>
        </is>
      </c>
      <c r="D4" s="4" t="inlineStr">
        <is>
          <t>何を持っているか</t>
        </is>
      </c>
      <c r="E4" s="4" t="inlineStr">
        <is>
          <t>たとえ</t>
        </is>
      </c>
    </row>
    <row r="5" ht="36" customHeight="1">
      <c r="A5" s="5" t="inlineStr">
        <is>
          <t>1</t>
        </is>
      </c>
      <c r="B5" s="6" t="inlineStr">
        <is>
          <t>fd テーブル</t>
        </is>
      </c>
      <c r="C5" s="6" t="inlineStr">
        <is>
          <t>プロセスごと（JVMごと）</t>
        </is>
      </c>
      <c r="D5" s="6" t="inlineStr">
        <is>
          <t>整数 → オープンファイル記述 へのポインタ</t>
        </is>
      </c>
      <c r="E5" s="6" t="inlineStr">
        <is>
          <t>「このノート使ってます」の整理券</t>
        </is>
      </c>
    </row>
    <row r="6" ht="36" customHeight="1">
      <c r="A6" s="7" t="inlineStr">
        <is>
          <t>2</t>
        </is>
      </c>
      <c r="B6" s="8" t="inlineStr">
        <is>
          <t>オープンファイル記述
(open file description)</t>
        </is>
      </c>
      <c r="C6" s="8" t="inlineStr">
        <is>
          <t>open() の呼び出しごと</t>
        </is>
      </c>
      <c r="D6" s="8" t="inlineStr">
        <is>
          <t>現在のオフセット、O_APPEND などのフラグ</t>
        </is>
      </c>
      <c r="E6" s="8" t="inlineStr">
        <is>
          <t>受付カード（今どこまで書いたかのしおり）</t>
        </is>
      </c>
    </row>
    <row r="7" ht="36" customHeight="1">
      <c r="A7" s="5" t="inlineStr">
        <is>
          <t>3</t>
        </is>
      </c>
      <c r="B7" s="6" t="inlineStr">
        <is>
          <t>inode</t>
        </is>
      </c>
      <c r="C7" s="6" t="inlineStr">
        <is>
          <t>ファイルシステム全体で1つ</t>
        </is>
      </c>
      <c r="D7" s="6" t="inlineStr">
        <is>
          <t>実データ、サイズ、リンク数、mtime。★ファイル名は持たない</t>
        </is>
      </c>
      <c r="E7" s="6" t="inlineStr">
        <is>
          <t>ノートそのもの（紙の束）</t>
        </is>
      </c>
    </row>
    <row r="8" ht="36" customHeight="1">
      <c r="A8" s="7" t="inlineStr">
        <is>
          <t>—</t>
        </is>
      </c>
      <c r="B8" s="8" t="inlineStr">
        <is>
          <t>ディレクトリエントリ</t>
        </is>
      </c>
      <c r="C8" s="8" t="inlineStr">
        <is>
          <t>ディレクトリの中の1行</t>
        </is>
      </c>
      <c r="D8" s="8" t="inlineStr">
        <is>
          <t>「この名前は inode 番号◯◯です」という対応表</t>
        </is>
      </c>
      <c r="E8" s="8" t="inlineStr">
        <is>
          <t>ノートに貼った名前シール</t>
        </is>
      </c>
    </row>
    <row r="10" ht="210" customHeight="1">
      <c r="A10" s="11" t="inlineStr">
        <is>
          <t xml:space="preserve"> プロセス（JVM）              カーネル                      EFS（NFSサーバ）
+---------------+    +--------------------------+   +----------------------+
| fd テーブル    |    | オープンファイル記述      |   | inode #12345         |
|  0: stdin     |    |  +--------------------+  |   |  中身: ログ本文       |
|  1: stdout    |    |  | #7                 |  |   |  サイズ: 1,048,576   |
|  2: stderr    |    |  |  offset = 1048576  |--+--&gt;|  リンク数: 1          |
|  9: ----------+---&gt;|  |  flags  = O_APPEND |  |   +----------------------+
+---------------+    |  |  inode  = #12345   |  |              ^
                     |  +--------------------+  |              | 名前で参照
                     +--------------------------+   +----------+-----------+
                                                    | ディレクトリ          |
                                                    |  "trace.log" -&gt; #12345|
                                                    +----------------------+
★ 決定的なポイント: inode に「ファイル名」は入っていない。
   名前はディレクトリ側が持つ、ただの「inode番号への矢印」にすぎない。</t>
        </is>
      </c>
      <c r="B10" s="12" t="n"/>
      <c r="C10" s="12" t="n"/>
      <c r="D10" s="12" t="n"/>
      <c r="E10" s="13" t="n"/>
    </row>
    <row r="12" ht="20" customHeight="1">
      <c r="A12" s="3" t="inlineStr">
        <is>
          <t>■ システムコールごとの挙動と、今回への影響</t>
        </is>
      </c>
    </row>
    <row r="13" ht="30" customHeight="1">
      <c r="A13" s="4" t="inlineStr">
        <is>
          <t>#</t>
        </is>
      </c>
      <c r="B13" s="4" t="inlineStr">
        <is>
          <t>操作</t>
        </is>
      </c>
      <c r="C13" s="4" t="inlineStr">
        <is>
          <t>Linux で実際に起きること</t>
        </is>
      </c>
      <c r="D13" s="4" t="inlineStr">
        <is>
          <t>今回の構成への影響</t>
        </is>
      </c>
      <c r="E13" s="4" t="inlineStr">
        <is>
          <t>たとえ</t>
        </is>
      </c>
    </row>
    <row r="14" ht="62" customHeight="1">
      <c r="A14" s="5" t="inlineStr">
        <is>
          <t>1</t>
        </is>
      </c>
      <c r="B14" s="6" t="inlineStr">
        <is>
          <t>open()</t>
        </is>
      </c>
      <c r="C14" s="6" t="inlineStr">
        <is>
          <t>名前から inode を探し、オープンファイル記述を作り、FD 番号を返す。以後 FD は inode に結びつく</t>
        </is>
      </c>
      <c r="D14" s="6" t="inlineStr">
        <is>
          <t>Log4j2 は JVM 起動時に1回 open し、ロールオーバまで閉じない。つまりこの瞬間に掴んだ inode が運命を決める</t>
        </is>
      </c>
      <c r="E14" s="6" t="inlineStr">
        <is>
          <t>名前シールを見てノートを探し、整理券をもらう</t>
        </is>
      </c>
    </row>
    <row r="15" ht="62" customHeight="1">
      <c r="A15" s="7" t="inlineStr">
        <is>
          <t>2</t>
        </is>
      </c>
      <c r="B15" s="8" t="inlineStr">
        <is>
          <t>rename()</t>
        </is>
      </c>
      <c r="C15" s="8" t="inlineStr">
        <is>
          <t>★ディレクトリエントリのラベルを書き換えるだけ。inode は一切動かない。開いている FD はまったく影響を受けない。プロセスに通知もエラーも来ない</t>
        </is>
      </c>
      <c r="D15" s="8" t="inlineStr">
        <is>
          <t>★これが「FD を掴み続ける」現象の正体。旧タスクが rename しても、新タスクの FD は古い inode を指したまま</t>
        </is>
      </c>
      <c r="E15" s="8" t="inlineStr">
        <is>
          <t>シールを貼り替える。ノートは同じ</t>
        </is>
      </c>
    </row>
    <row r="16" ht="62" customHeight="1">
      <c r="A16" s="5" t="inlineStr">
        <is>
          <t>3</t>
        </is>
      </c>
      <c r="B16" s="6" t="inlineStr">
        <is>
          <t>rename() の上書き</t>
        </is>
      </c>
      <c r="C16" s="6" t="inlineStr">
        <is>
          <t>移動先がすでに存在していれば、そのリンクを黙って外して置き換える。エラーにならない</t>
        </is>
      </c>
      <c r="D16" s="6" t="inlineStr">
        <is>
          <t>★シナリオD。先に回転した側の回転済みファイルが、後から回転した側に丸ごと潰される</t>
        </is>
      </c>
      <c r="E16" s="6" t="inlineStr">
        <is>
          <t>別のノートのシールを剥がして貼り直す</t>
        </is>
      </c>
    </row>
    <row r="17" ht="62" customHeight="1">
      <c r="A17" s="7" t="inlineStr">
        <is>
          <t>4</t>
        </is>
      </c>
      <c r="B17" s="8" t="inlineStr">
        <is>
          <t>unlink()（削除）</t>
        </is>
      </c>
      <c r="C17" s="8" t="inlineStr">
        <is>
          <t>名前を消す。ただし FD を持つプロセスがいる間は inode は生き続ける（名前のない開かれたファイル）。最後の FD が閉じた瞬間に実体が消える</t>
        </is>
      </c>
      <c r="D17" s="8" t="inlineStr">
        <is>
          <t>ls には出ないのに df で容量が減らない。回転済みファイルが消されても、掴んでいる側は書き続けられてしまう</t>
        </is>
      </c>
      <c r="E17" s="8" t="inlineStr">
        <is>
          <t>シールを剥がす。使っている人がいれば捨てない</t>
        </is>
      </c>
    </row>
    <row r="18" ht="62" customHeight="1">
      <c r="A18" s="5" t="inlineStr">
        <is>
          <t>5</t>
        </is>
      </c>
      <c r="B18" s="6" t="inlineStr">
        <is>
          <t>silly rename（NFS固有）</t>
        </is>
      </c>
      <c r="C18" s="6" t="inlineStr">
        <is>
          <t>NFS は「最後のFDが閉じたら削除」をサーバ側で持てないため、クライアントが .nfs0000... という隠しファイルへ改名して延命する</t>
        </is>
      </c>
      <c r="D18" s="6" t="inlineStr">
        <is>
          <t>★EFS に .nfs* が現れる原因。FD を掴んでいる間ストレージ課金が続き、閉じた瞬間に中身ごと消える（回収不能）</t>
        </is>
      </c>
      <c r="E18" s="6" t="inlineStr">
        <is>
          <t>捨てるノートを、使い終わるまで倉庫の隅に隠す</t>
        </is>
      </c>
    </row>
    <row r="19" ht="62" customHeight="1">
      <c r="A19" s="7" t="inlineStr">
        <is>
          <t>6</t>
        </is>
      </c>
      <c r="B19" s="8" t="inlineStr">
        <is>
          <t>O_APPEND（ローカルFS）</t>
        </is>
      </c>
      <c r="C19" s="8" t="inlineStr">
        <is>
          <t>カーネルが inode ロックを取り、末尾位置の確定と書き込みを原子的に行う。複数プロセスが同時追記しても混ざらない</t>
        </is>
      </c>
      <c r="D19" s="8" t="inlineStr">
        <is>
          <t>ローカルディスクなら今回の構成でも「同時追記」は安全だった。EFS だから壊れる</t>
        </is>
      </c>
      <c r="E19" s="8" t="inlineStr">
        <is>
          <t>係の人が順番を管理してくれる</t>
        </is>
      </c>
    </row>
    <row r="20" ht="62" customHeight="1">
      <c r="A20" s="5" t="inlineStr">
        <is>
          <t>7</t>
        </is>
      </c>
      <c r="B20" s="6" t="inlineStr">
        <is>
          <t>O_APPEND（NFS/EFS）</t>
        </is>
      </c>
      <c r="C20" s="6" t="inlineStr">
        <is>
          <t>★NFS に「末尾に追記」という手続きが無い。クライアントが (1)サイズ取得 →(2)そのオフセットへ WRITE と2段階でエミュレートするため競合する</t>
        </is>
      </c>
      <c r="D20" s="6" t="inlineStr">
        <is>
          <t>★シナリオA。man 2 open が名指しで「複数プロセスの同時追記はファイルを壊す」と警告している使い方そのもの</t>
        </is>
      </c>
      <c r="E20" s="6" t="inlineStr">
        <is>
          <t>2人が古い記憶のページ数に同時に書く</t>
        </is>
      </c>
    </row>
    <row r="21" ht="62" customHeight="1">
      <c r="A21" s="7" t="inlineStr">
        <is>
          <t>8</t>
        </is>
      </c>
      <c r="B21" s="8" t="inlineStr">
        <is>
          <t>close-to-open 一貫性</t>
        </is>
      </c>
      <c r="C21" s="8" t="inlineStr">
        <is>
          <t>書き手が close() したものを、読み手が open() したときにはじめて最新が見える。開きっぱなしのファイルでは他クライアントの書き込みが見えない</t>
        </is>
      </c>
      <c r="D21" s="8" t="inlineStr">
        <is>
          <t>Log4j2 は FD を何時間も開きっぱなしにするため、両タスクのファイルサイズ認識が最初からずれる</t>
        </is>
      </c>
      <c r="E21" s="8" t="inlineStr">
        <is>
          <t>閉じて開き直さないと他人の書いた分が見えない</t>
        </is>
      </c>
    </row>
    <row r="22" ht="62" customHeight="1">
      <c r="A22" s="5" t="inlineStr">
        <is>
          <t>9</t>
        </is>
      </c>
      <c r="B22" s="6" t="inlineStr">
        <is>
          <t>ESTALE（NFS4ERR_STALE）</t>
        </is>
      </c>
      <c r="C22" s="6" t="inlineStr">
        <is>
          <t>参照していたファイルハンドルがサーバ側にもう無い場合に返るエラー</t>
        </is>
      </c>
      <c r="D22" s="6" t="inlineStr">
        <is>
          <t>別ホストから rename 上書きされた inode に書こうとすると発生し得る（NFSv4 はサーバが OPEN 状態を持つため実装依存／EFS の実挙動は要検証）</t>
        </is>
      </c>
      <c r="E22" s="6" t="inlineStr">
        <is>
          <t>「そのノートはもうありません」と言われる</t>
        </is>
      </c>
    </row>
    <row r="24" ht="74" customHeight="1">
      <c r="A24" s="2" t="inlineStr">
        <is>
          <t>【man 2 open NOTES より引用】
  O_APPEND may lead to corrupted files on NFS filesystems if more than one process appends data to a file at once.
  This is because NFS does not support appending to a file, so the client kernel has to simulate it,
  which can't be done without a race condition.
【訳】NFS 上では、複数のプロセスが同時に1つのファイルに追記するとファイルが壊れる可能性がある。NFS は「追記」をサポートしていないため、クライアント側のカーネルが真似をするしかなく、それは競合状態なしには実現できないからである。</t>
        </is>
      </c>
    </row>
  </sheetData>
  <mergeCells count="5">
    <mergeCell ref="A12:E12"/>
    <mergeCell ref="A24:E24"/>
    <mergeCell ref="A10:E10"/>
    <mergeCell ref="A1:E1"/>
    <mergeCell ref="A3:E3"/>
  </mergeCells>
  <pageMargins left="0.75" right="0.75" top="1" bottom="1" header="0.5" footer="0.5"/>
</worksheet>
</file>

<file path=xl/worksheets/sheet4.xml><?xml version="1.0" encoding="utf-8"?>
<worksheet xmlns="http://schemas.openxmlformats.org/spreadsheetml/2006/main">
  <sheetPr>
    <tabColor rgb="00C55A11"/>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6" customWidth="1" min="1" max="1"/>
    <col width="24" customWidth="1" min="2" max="2"/>
    <col width="30" customWidth="1" min="3" max="3"/>
    <col width="44" customWidth="1" min="4" max="4"/>
    <col width="34" customWidth="1" min="5" max="5"/>
    <col width="22" customWidth="1" min="6" max="6"/>
    <col width="30" customWidth="1" min="7" max="7"/>
    <col width="16" customWidth="1" min="8" max="8"/>
  </cols>
  <sheetData>
    <row r="1" ht="24" customHeight="1">
      <c r="A1" s="1" t="inlineStr">
        <is>
          <t>障害シナリオ A〜F の一覧</t>
        </is>
      </c>
    </row>
    <row r="3" ht="30" customHeight="1">
      <c r="A3" s="4" t="inlineStr">
        <is>
          <t>ID</t>
        </is>
      </c>
      <c r="B3" s="4" t="inlineStr">
        <is>
          <t>名称</t>
        </is>
      </c>
      <c r="C3" s="4" t="inlineStr">
        <is>
          <t>発生条件</t>
        </is>
      </c>
      <c r="D3" s="4" t="inlineStr">
        <is>
          <t>内部で何が起きているか</t>
        </is>
      </c>
      <c r="E3" s="4" t="inlineStr">
        <is>
          <t>症状（見え方）</t>
        </is>
      </c>
      <c r="F3" s="4" t="inlineStr">
        <is>
          <t>持続時間</t>
        </is>
      </c>
      <c r="G3" s="4" t="inlineStr">
        <is>
          <t>検知方法</t>
        </is>
      </c>
      <c r="H3" s="4" t="inlineStr">
        <is>
          <t>解決する案</t>
        </is>
      </c>
    </row>
    <row r="4" ht="112" customHeight="1">
      <c r="A4" s="5" t="inlineStr">
        <is>
          <t>A</t>
        </is>
      </c>
      <c r="B4" s="6" t="inlineStr">
        <is>
          <t>2タスクが同一 inode に同時追記</t>
        </is>
      </c>
      <c r="C4" s="6" t="inlineStr">
        <is>
          <t>重複期間中、両タスクが同じパスを開いている（＝毎デプロイ必発）</t>
        </is>
      </c>
      <c r="D4" s="6" t="inlineStr">
        <is>
          <t>NFS には atomic append が無い。各クライアントが自分のキャッシュ済みファイルサイズをオフセットにして WRITE を発行するため、同じオフセットに2つのプロセスが書き、片方が消える</t>
        </is>
      </c>
      <c r="E4" s="6" t="inlineStr">
        <is>
          <t>行がまるごと消える／行の途中から別の行が始まる／NULバイトの穴／ファイルサイズが減る</t>
        </is>
      </c>
      <c r="F4" s="6" t="inlineStr">
        <is>
          <t>重複期間のあいだ中（通常1〜10分）</t>
        </is>
      </c>
      <c r="G4" s="6" t="inlineStr">
        <is>
          <t>ハートビート行の連番欠損検出。grep で NUL・行途中割り込みを検査</t>
        </is>
      </c>
      <c r="H4" s="5" t="inlineStr">
        <is>
          <t>案1,2,3,5,6</t>
        </is>
      </c>
    </row>
    <row r="5" ht="112" customHeight="1">
      <c r="A5" s="7" t="inlineStr">
        <is>
          <t>B</t>
        </is>
      </c>
      <c r="B5" s="8" t="inlineStr">
        <is>
          <t>新タスクが回転前 inode を掴む</t>
        </is>
      </c>
      <c r="C5" s="8" t="inlineStr">
        <is>
          <t>新タスクの open 時刻 D &lt; 旧タスクの実回転時刻 Δ</t>
        </is>
      </c>
      <c r="D5" s="8" t="inlineStr">
        <is>
          <t>FD は名前ではなく inode に結びつくため、旧タスクが rename しても新タスクは気づかない。さらに旧タスクが後に回転すると、新タスクが作った trace.log まで rename で持って行かれ、新タスクは自分の inode が改名されたことも分からなくなる</t>
        </is>
      </c>
      <c r="E5" s="8" t="inlineStr">
        <is>
          <t>0時〜1時のログが「23時ぶん」の回転済みファイルに混入。現行 trace.log は空のまま。翌時間の回転済みファイルもほぼ空</t>
        </is>
      </c>
      <c r="F5" s="8" t="inlineStr">
        <is>
          <t>旧タスクが後に回転した場合は次の正時まで（最大1時間）。旧タスクが先なら最大1書き込み間隔（30秒）</t>
        </is>
      </c>
      <c r="G5" s="8" t="inlineStr">
        <is>
          <t>ls -l /proc/&lt;pid&gt;/fd で FD の指す先を確認。trace.log 以外なら発生中</t>
        </is>
      </c>
      <c r="H5" s="7" t="inlineStr">
        <is>
          <t>案1,2,3,5,6</t>
        </is>
      </c>
    </row>
    <row r="6" ht="112" customHeight="1">
      <c r="A6" s="5" t="inlineStr">
        <is>
          <t>C</t>
        </is>
      </c>
      <c r="B6" s="6" t="inlineStr">
        <is>
          <t>rename〜create の隙間で open</t>
        </is>
      </c>
      <c r="C6" s="6" t="inlineStr">
        <is>
          <t>新タスクの open が、旧タスクの rename 完了〜create 完了の約2ms の窓に命中</t>
        </is>
      </c>
      <c r="D6" s="6" t="inlineStr">
        <is>
          <t>rename と create-after-rename は原子的なペアではない。その間 trace.log という名前は存在しないため、新タスクが O_CREAT で別 inode を作ってしまう</t>
        </is>
      </c>
      <c r="E6" s="6" t="inlineStr">
        <is>
          <t>二重 inode が生まれ、以後シナリオAと同じ2重書き込みになる</t>
        </is>
      </c>
      <c r="F6" s="6" t="inlineStr">
        <is>
          <t>以後ずっと（シナリオAに合流）</t>
        </is>
      </c>
      <c r="G6" s="6" t="inlineStr">
        <is>
          <t>stat で inode 番号を比較</t>
        </is>
      </c>
      <c r="H6" s="5" t="inlineStr">
        <is>
          <t>案1,2,3,5,6</t>
        </is>
      </c>
    </row>
    <row r="7" ht="112" customHeight="1">
      <c r="A7" s="7" t="inlineStr">
        <is>
          <t>D</t>
        </is>
      </c>
      <c r="B7" s="8" t="inlineStr">
        <is>
          <t>rename 衝突で回転済みファイルが消える</t>
        </is>
      </c>
      <c r="C7" s="8" t="inlineStr">
        <is>
          <t>両タスクが同じ時境界をまたいで生存（＝シナリオBと同一条件）</t>
        </is>
      </c>
      <c r="D7" s="8" t="inlineStr">
        <is>
          <t>POSIX の rename は移動先が存在しても黙って上書きする。後から回転した側が、先に回転した側の回転済みファイルのリンクを外してしまう</t>
        </is>
      </c>
      <c r="E7" s="8" t="inlineStr">
        <is>
          <t>回転済みファイルが丸ごと消える／サイズが極端に小さい回転済みファイルが残る</t>
        </is>
      </c>
      <c r="F7" s="8" t="inlineStr">
        <is>
          <t>即時・不可逆</t>
        </is>
      </c>
      <c r="G7" s="8" t="inlineStr">
        <is>
          <t>回転済みファイルのサイズを前日比較。.nfs* の出現を監視</t>
        </is>
      </c>
      <c r="H7" s="7" t="inlineStr">
        <is>
          <t>案1,2,3,5,6</t>
        </is>
      </c>
    </row>
    <row r="8" ht="112" customHeight="1">
      <c r="A8" s="5" t="inlineStr">
        <is>
          <t>E</t>
        </is>
      </c>
      <c r="B8" s="6" t="inlineStr">
        <is>
          <t>gz圧縮とFD保持の競合 / .nfs* リーク</t>
        </is>
      </c>
      <c r="C8" s="6" t="inlineStr">
        <is>
          <t>filePattern に .gz があり、かつ他タスクが同じ inode の FD を保持している</t>
        </is>
      </c>
      <c r="D8" s="6" t="inlineStr">
        <is>
          <t>rename 後、非同期スレッドが元ファイルを読みながら gz を作る。その間も他タスクが追記し続ける。圧縮完了後に元ファイルが削除されるが、FD が残っているため silly rename で .nfs* に化ける</t>
        </is>
      </c>
      <c r="E8" s="6" t="inlineStr">
        <is>
          <t>途中で切れた gz／.nfs0000... が ls で見えるのに rm できない／EFS 容量課金の増加</t>
        </is>
      </c>
      <c r="F8" s="6" t="inlineStr">
        <is>
          <t>FD が閉じられるまで（最大1ロール周期）</t>
        </is>
      </c>
      <c r="G8" s="6" t="inlineStr">
        <is>
          <t>find /mnt/efs/logs -name '.nfs*' を日次。EFS StorageBytes のアラーム</t>
        </is>
      </c>
      <c r="H8" s="5" t="inlineStr">
        <is>
          <t>案1,2,3,5,6</t>
        </is>
      </c>
    </row>
    <row r="9" ht="112" customHeight="1">
      <c r="A9" s="7" t="inlineStr">
        <is>
          <t>F</t>
        </is>
      </c>
      <c r="B9" s="8" t="inlineStr">
        <is>
          <t>無書き込み期間をまたいだ古い名前での回転</t>
        </is>
      </c>
      <c r="C9" s="8" t="inlineStr">
        <is>
          <t>タスクが1周期以上ログを出さなかった場合（起動直後・ヘルスチェック待ちなど）</t>
        </is>
      </c>
      <c r="D9" s="8" t="inlineStr">
        <is>
          <t>ロールオーバはタイマーではなく次のログ出力で判定されるため、nextRolloverMillis が過去のまま残る。次に書いた瞬間に1回だけ、何時間も前の名前で回転する</t>
        </is>
      </c>
      <c r="E9" s="8" t="inlineStr">
        <is>
          <t>既存の同名ファイルを上書きして消してしまう（シナリオDと同じ結果）</t>
        </is>
      </c>
      <c r="F9" s="8" t="inlineStr">
        <is>
          <t>即時・不可逆</t>
        </is>
      </c>
      <c r="G9" s="8" t="inlineStr">
        <is>
          <t>回転済みファイルのタイムスタンプと名前の時間帯の整合性チェック</t>
        </is>
      </c>
      <c r="H9" s="7" t="inlineStr">
        <is>
          <t>案1,2,3,5,6</t>
        </is>
      </c>
    </row>
    <row r="11">
      <c r="A11" s="2" t="inlineStr">
        <is>
          <t>※ シナリオ B と D は発生条件が同一なので、実際にはセットで発生します。※ シナリオ C の確率は 10^-5 オーダーであり、実務上は無視してかまいません。</t>
        </is>
      </c>
    </row>
  </sheetData>
  <mergeCells count="2">
    <mergeCell ref="A11:H11"/>
    <mergeCell ref="A1:H1"/>
  </mergeCell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14" customWidth="1" min="1" max="1"/>
    <col width="34" customWidth="1" min="2" max="2"/>
    <col width="34" customWidth="1" min="3" max="3"/>
    <col width="30" customWidth="1" min="4" max="4"/>
    <col width="44" customWidth="1" min="5" max="5"/>
  </cols>
  <sheetData>
    <row r="1" ht="24" customHeight="1">
      <c r="A1" s="1" t="inlineStr">
        <is>
          <t>シナリオB／D のミリ秒単位タイムライン（最悪ケース＝旧タスクが後に回転）</t>
        </is>
      </c>
    </row>
    <row r="2">
      <c r="A2" s="2" t="inlineStr">
        <is>
          <t>#1, #2, #3 は inode 番号。A＝旧タスク、B＝新タスク。旧タスクAの回転が新タスクBより後に起きるケース（確率約1/2）を示します。</t>
        </is>
      </c>
    </row>
    <row r="4" ht="30" customHeight="1">
      <c r="A4" s="4" t="inlineStr">
        <is>
          <t>時刻</t>
        </is>
      </c>
      <c r="B4" s="4" t="inlineStr">
        <is>
          <t>タスクA（旧）</t>
        </is>
      </c>
      <c r="C4" s="4" t="inlineStr">
        <is>
          <t>タスクB（新）</t>
        </is>
      </c>
      <c r="D4" s="4" t="inlineStr">
        <is>
          <t>EFS 上の状態</t>
        </is>
      </c>
      <c r="E4" s="4" t="inlineStr">
        <is>
          <t>解説</t>
        </is>
      </c>
    </row>
    <row r="5" ht="20" customHeight="1">
      <c r="A5" s="5" t="inlineStr">
        <is>
          <t>23:59:52</t>
        </is>
      </c>
      <c r="B5" s="6" t="inlineStr">
        <is>
          <t>write(#1)</t>
        </is>
      </c>
      <c r="C5" s="6" t="inlineStr"/>
      <c r="D5" s="6" t="inlineStr">
        <is>
          <t>trace.log → #1</t>
        </is>
      </c>
      <c r="E5" s="6" t="inlineStr">
        <is>
          <t>平常運転。A だけが書いている</t>
        </is>
      </c>
    </row>
    <row r="6" ht="20" customHeight="1">
      <c r="A6" s="7" t="inlineStr">
        <is>
          <t>23:59:58</t>
        </is>
      </c>
      <c r="B6" s="8" t="inlineStr"/>
      <c r="C6" s="8" t="inlineStr">
        <is>
          <t>JVM起動／Log4j2 初期化開始</t>
        </is>
      </c>
      <c r="D6" s="8" t="inlineStr">
        <is>
          <t>trace.log → #1</t>
        </is>
      </c>
      <c r="E6" s="8" t="inlineStr">
        <is>
          <t>ローリングアップデートで新タスクが立ち上がる</t>
        </is>
      </c>
    </row>
    <row r="7" ht="52" customHeight="1">
      <c r="A7" s="9" t="inlineStr">
        <is>
          <t>23:59:59</t>
        </is>
      </c>
      <c r="B7" s="10" t="inlineStr"/>
      <c r="C7" s="10" t="inlineStr">
        <is>
          <t>open("trace.log") → #1
lastModified=23:59:52
→ nextRollover = 00:00:00</t>
        </is>
      </c>
      <c r="D7" s="10" t="inlineStr">
        <is>
          <t>trace.log → #1</t>
        </is>
      </c>
      <c r="E7" s="10" t="inlineStr">
        <is>
          <t>★運命の瞬間。B が回転前の inode #1 を掴んだ。しかも次回回転時刻が「もう過ぎている」00:00:00 になる</t>
        </is>
      </c>
    </row>
    <row r="8" ht="20" customHeight="1">
      <c r="A8" s="7" t="inlineStr">
        <is>
          <t>00:00:00</t>
        </is>
      </c>
      <c r="B8" s="8" t="inlineStr">
        <is>
          <t>（時境界）</t>
        </is>
      </c>
      <c r="C8" s="8" t="inlineStr">
        <is>
          <t>（時境界）</t>
        </is>
      </c>
      <c r="D8" s="8" t="inlineStr">
        <is>
          <t>trace.log → #1</t>
        </is>
      </c>
      <c r="E8" s="8" t="inlineStr">
        <is>
          <t>★誰も何もしない。ロールオーバはタイマーではなく次のログ出力で起きるため</t>
        </is>
      </c>
    </row>
    <row r="9" ht="68" customHeight="1">
      <c r="A9" s="5" t="inlineStr">
        <is>
          <t>00:00:10</t>
        </is>
      </c>
      <c r="B9" s="6" t="inlineStr"/>
      <c r="C9" s="6" t="inlineStr">
        <is>
          <t>write → 回転判定 true
close(#1)
rename(trace.log → trace-…-23.log)
open O_CREAT → #2
write(#2)</t>
        </is>
      </c>
      <c r="D9" s="6" t="inlineStr">
        <is>
          <t>trace-…-23.log → #1
trace.log → #2</t>
        </is>
      </c>
      <c r="E9" s="6" t="inlineStr">
        <is>
          <t>B が先に回転した。ここまでは一見正常に見える</t>
        </is>
      </c>
    </row>
    <row r="10" ht="96" customHeight="1">
      <c r="A10" s="9" t="inlineStr">
        <is>
          <t>00:00:22</t>
        </is>
      </c>
      <c r="B10" s="10" t="inlineStr">
        <is>
          <t>write → 回転判定 true
close(#1)
rename(trace.log → trace-…-23.log)
※いま trace.log は #2
※移動先には既に #1 がいる
→ POSIX rename は黙って上書き
open O_CREAT → #3
write(#3)</t>
        </is>
      </c>
      <c r="C10" s="10" t="inlineStr"/>
      <c r="D10" s="10" t="inlineStr">
        <is>
          <t>trace-…-23.log → #2
#1 は名前を失う
trace.log → #3</t>
        </is>
      </c>
      <c r="E10" s="10" t="inlineStr">
        <is>
          <t>★ここで2つの事故が同時に起きる。(1) #1 が消滅（.nfs* 化 or ESTALE）＝23時台前半のログが回収不能。(2) B が持つ #2 の名前が trace-…-23.log に変わった。B はそれを知らない</t>
        </is>
      </c>
    </row>
    <row r="11" ht="34" customHeight="1">
      <c r="A11" s="9" t="inlineStr">
        <is>
          <t>00:01:xx</t>
        </is>
      </c>
      <c r="B11" s="10" t="inlineStr">
        <is>
          <t>── SIGTERM / 停止 ──</t>
        </is>
      </c>
      <c r="C11" s="10" t="inlineStr">
        <is>
          <t>write(#2)</t>
        </is>
      </c>
      <c r="D11" s="10" t="inlineStr">
        <is>
          <t>trace-…-23.log → #2
trace.log → #3（誰も書かない）</t>
        </is>
      </c>
      <c r="E11" s="10" t="inlineStr">
        <is>
          <t>★旧タスクが消え、壊れた状態だけが新タスクに残る</t>
        </is>
      </c>
    </row>
    <row r="12" ht="40" customHeight="1">
      <c r="A12" s="9" t="inlineStr">
        <is>
          <t>00:01〜01:00</t>
        </is>
      </c>
      <c r="B12" s="10" t="inlineStr">
        <is>
          <t>（不在）</t>
        </is>
      </c>
      <c r="C12" s="10" t="inlineStr">
        <is>
          <t>write(#2) を繰り返す</t>
        </is>
      </c>
      <c r="D12" s="10" t="inlineStr">
        <is>
          <t>trace-…-23.log が肥大
trace.log(#3) は空のまま</t>
        </is>
      </c>
      <c r="E12" s="10" t="inlineStr">
        <is>
          <t>★丸1時間、0時台のログが「23時ぶん」のファイルに書き込まれ続ける。誰も検知しない</t>
        </is>
      </c>
    </row>
    <row r="13" ht="20" customHeight="1">
      <c r="A13" s="5" t="inlineStr">
        <is>
          <t>01:00:00</t>
        </is>
      </c>
      <c r="B13" s="6" t="inlineStr"/>
      <c r="C13" s="6" t="inlineStr">
        <is>
          <t>（時境界）</t>
        </is>
      </c>
      <c r="D13" s="6" t="inlineStr">
        <is>
          <t>同上</t>
        </is>
      </c>
      <c r="E13" s="6" t="inlineStr">
        <is>
          <t>B の nextRollover = 01:00:00</t>
        </is>
      </c>
    </row>
    <row r="14" ht="68" customHeight="1">
      <c r="A14" s="7" t="inlineStr">
        <is>
          <t>01:00:1x</t>
        </is>
      </c>
      <c r="B14" s="8" t="inlineStr"/>
      <c r="C14" s="8" t="inlineStr">
        <is>
          <t>write → 回転判定 true
close(#2)
rename(trace.log(#3) → trace-…-00.log)
open O_CREAT → #4</t>
        </is>
      </c>
      <c r="D14" s="8" t="inlineStr">
        <is>
          <t>trace-…-00.log → #3（ほぼ空）
trace.log → #4</t>
        </is>
      </c>
      <c r="E14" s="8" t="inlineStr">
        <is>
          <t>★ここでようやく FD は開き直される＝一旦は復旧する。ただし 00時台のログは trace-…-23.log の中に残り、trace-…-00.log はほぼ空になる</t>
        </is>
      </c>
    </row>
    <row r="15" ht="20" customHeight="1">
      <c r="A15" s="5" t="inlineStr">
        <is>
          <t>01:00〜</t>
        </is>
      </c>
      <c r="B15" s="6" t="inlineStr"/>
      <c r="C15" s="6" t="inlineStr">
        <is>
          <t>正常運転</t>
        </is>
      </c>
      <c r="D15" s="6" t="inlineStr">
        <is>
          <t>trace.log → #4</t>
        </is>
      </c>
      <c r="E15" s="6" t="inlineStr">
        <is>
          <t>翌日のデプロイでまた同じことが起きる</t>
        </is>
      </c>
    </row>
    <row r="17" ht="20" customHeight="1">
      <c r="A17" s="3" t="inlineStr">
        <is>
          <t>■ 最終的に何が残るか</t>
        </is>
      </c>
    </row>
    <row r="18" ht="30" customHeight="1">
      <c r="A18" s="4" t="inlineStr">
        <is>
          <t>ファイル</t>
        </is>
      </c>
      <c r="B18" s="4" t="inlineStr">
        <is>
          <t>本来入っているべき内容</t>
        </is>
      </c>
      <c r="C18" s="4" t="inlineStr">
        <is>
          <t>実際に入っている内容</t>
        </is>
      </c>
      <c r="D18" s="4" t="inlineStr">
        <is>
          <t>判定</t>
        </is>
      </c>
      <c r="E18" s="4" t="inlineStr">
        <is>
          <t>備考</t>
        </is>
      </c>
    </row>
    <row r="19" ht="30" customHeight="1">
      <c r="A19" s="6" t="inlineStr">
        <is>
          <t>trace-2026-09-17-23.log</t>
        </is>
      </c>
      <c r="B19" s="6" t="inlineStr">
        <is>
          <t>23:00〜23:59 のログ</t>
        </is>
      </c>
      <c r="C19" s="6" t="inlineStr">
        <is>
          <t>23時台後半のログ ＋ 00:00〜01:00 のログ（全部）</t>
        </is>
      </c>
      <c r="D19" s="5" t="inlineStr">
        <is>
          <t>混入</t>
        </is>
      </c>
      <c r="E19" s="6" t="inlineStr">
        <is>
          <t>名前と中身の時間帯が食い違う</t>
        </is>
      </c>
    </row>
    <row r="20" ht="30" customHeight="1">
      <c r="A20" s="8" t="inlineStr">
        <is>
          <t>trace.log（#3）</t>
        </is>
      </c>
      <c r="B20" s="8" t="inlineStr">
        <is>
          <t>00:00 以降の現行ログ</t>
        </is>
      </c>
      <c r="C20" s="8" t="inlineStr">
        <is>
          <t>A が停止するまでの数十秒ぶんのみ。以後は空</t>
        </is>
      </c>
      <c r="D20" s="7" t="inlineStr">
        <is>
          <t>欠落</t>
        </is>
      </c>
      <c r="E20" s="8" t="inlineStr">
        <is>
          <t>誰も書いていない</t>
        </is>
      </c>
    </row>
    <row r="21" ht="30" customHeight="1">
      <c r="A21" s="6" t="inlineStr">
        <is>
          <t>trace-2026-09-18-00.log</t>
        </is>
      </c>
      <c r="B21" s="6" t="inlineStr">
        <is>
          <t>00:00〜00:59 のログ</t>
        </is>
      </c>
      <c r="C21" s="6" t="inlineStr">
        <is>
          <t>ほぼ空（#3 の内容そのまま）</t>
        </is>
      </c>
      <c r="D21" s="5" t="inlineStr">
        <is>
          <t>欠落</t>
        </is>
      </c>
      <c r="E21" s="6" t="inlineStr">
        <is>
          <t>01:00 の回転で生成される</t>
        </is>
      </c>
    </row>
    <row r="22" ht="30" customHeight="1">
      <c r="A22" s="8" t="inlineStr">
        <is>
          <t>消滅した #1</t>
        </is>
      </c>
      <c r="B22" s="8" t="inlineStr">
        <is>
          <t>23:00〜23:30 頃のログ</t>
        </is>
      </c>
      <c r="C22" s="8" t="inlineStr">
        <is>
          <t>—（.nfs* 化して FD 解放時に消滅、または ESTALE）</t>
        </is>
      </c>
      <c r="D22" s="7" t="inlineStr">
        <is>
          <t>消失</t>
        </is>
      </c>
      <c r="E22" s="8" t="inlineStr">
        <is>
          <t>★回収不能</t>
        </is>
      </c>
    </row>
    <row r="24">
      <c r="A24" s="2" t="inlineStr">
        <is>
          <t>※ 旧タスクAが「先に」回転した場合（確率約1/2）は、Bは自分の回転でFDを開き直すため、被害は最大1書き込み間隔（30秒）に収まります。上表は最悪ケースです。</t>
        </is>
      </c>
    </row>
  </sheetData>
  <mergeCells count="4">
    <mergeCell ref="A2:E2"/>
    <mergeCell ref="A1:E1"/>
    <mergeCell ref="A17:E17"/>
    <mergeCell ref="A24:E24"/>
  </mergeCells>
  <pageMargins left="0.75" right="0.75" top="1" bottom="1" header="0.5" footer="0.5"/>
</worksheet>
</file>

<file path=xl/worksheets/sheet6.xml><?xml version="1.0" encoding="utf-8"?>
<worksheet xmlns="http://schemas.openxmlformats.org/spreadsheetml/2006/main">
  <sheetPr>
    <tabColor rgb="00BF8F00"/>
    <outlinePr summaryBelow="1" summaryRight="1"/>
    <pageSetUpPr/>
  </sheetPr>
  <dimension ref="A1:N30"/>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0" customWidth="1" min="3" max="3"/>
    <col width="10" customWidth="1" min="4" max="4"/>
    <col width="10" customWidth="1" min="5" max="5"/>
    <col width="10" customWidth="1" min="6" max="6"/>
    <col width="12" customWidth="1" min="7" max="7"/>
    <col width="12" customWidth="1" min="8" max="8"/>
    <col width="12" customWidth="1" min="9" max="9"/>
    <col width="12" customWidth="1" min="10" max="10"/>
    <col width="14" customWidth="1" min="11" max="11"/>
    <col width="14" customWidth="1" min="12" max="12"/>
    <col width="14" customWidth="1" min="13" max="13"/>
    <col width="14" customWidth="1" min="14" max="14"/>
  </cols>
  <sheetData>
    <row r="1" ht="24" customHeight="1">
      <c r="A1" s="1" t="inlineStr">
        <is>
          <t>発生確率モデル（パラメータを編集すると再計算されます）</t>
        </is>
      </c>
    </row>
    <row r="2">
      <c r="A2" s="2" t="inlineStr">
        <is>
          <t>黄色＋青字のセルが入力セルです。値を変えると下の表の確率と年間回数が自動で再計算されます。</t>
        </is>
      </c>
    </row>
    <row r="4" ht="20" customHeight="1">
      <c r="A4" s="3" t="inlineStr">
        <is>
          <t>■ 共通パラメータ（入力）</t>
        </is>
      </c>
    </row>
    <row r="5" ht="26" customHeight="1">
      <c r="A5" s="14" t="inlineStr">
        <is>
          <t>W：ログ書き込み間隔（秒）</t>
        </is>
      </c>
      <c r="B5" s="12" t="n"/>
      <c r="C5" s="13" t="n"/>
      <c r="D5" s="15" t="n">
        <v>30</v>
      </c>
      <c r="E5" s="16" t="inlineStr">
        <is>
          <t>ご提示の前提値。ロールオーバは「次のログ出力」で起きるため、実際の回転は 時境界＋U(0,W) になる</t>
        </is>
      </c>
      <c r="F5" s="12" t="n"/>
      <c r="G5" s="12" t="n"/>
      <c r="H5" s="12" t="n"/>
      <c r="I5" s="12" t="n"/>
      <c r="J5" s="12" t="n"/>
      <c r="K5" s="12" t="n"/>
      <c r="L5" s="12" t="n"/>
      <c r="M5" s="12" t="n"/>
      <c r="N5" s="13" t="n"/>
    </row>
    <row r="6" ht="26" customHeight="1">
      <c r="A6" s="14" t="inlineStr">
        <is>
          <t>G：rename完了〜create完了の隙間（秒）</t>
        </is>
      </c>
      <c r="B6" s="12" t="n"/>
      <c r="C6" s="13" t="n"/>
      <c r="D6" s="17" t="n">
        <v>0.002</v>
      </c>
      <c r="E6" s="16" t="inlineStr">
        <is>
          <t>EFS のメタデータ往復 約1ms × 2操作 と仮定。実測値ではありません（要確認）</t>
        </is>
      </c>
      <c r="F6" s="12" t="n"/>
      <c r="G6" s="12" t="n"/>
      <c r="H6" s="12" t="n"/>
      <c r="I6" s="12" t="n"/>
      <c r="J6" s="12" t="n"/>
      <c r="K6" s="12" t="n"/>
      <c r="L6" s="12" t="n"/>
      <c r="M6" s="12" t="n"/>
      <c r="N6" s="13" t="n"/>
    </row>
    <row r="7" ht="26" customHeight="1">
      <c r="A7" s="14" t="inlineStr">
        <is>
          <t>年間デプロイ回数</t>
        </is>
      </c>
      <c r="B7" s="12" t="n"/>
      <c r="C7" s="13" t="n"/>
      <c r="D7" s="15" t="n">
        <v>365</v>
      </c>
      <c r="E7" s="16" t="inlineStr">
        <is>
          <t>毎日0時にデプロイする前提</t>
        </is>
      </c>
      <c r="F7" s="12" t="n"/>
      <c r="G7" s="12" t="n"/>
      <c r="H7" s="12" t="n"/>
      <c r="I7" s="12" t="n"/>
      <c r="J7" s="12" t="n"/>
      <c r="K7" s="12" t="n"/>
      <c r="L7" s="12" t="n"/>
      <c r="M7" s="12" t="n"/>
      <c r="N7" s="13" t="n"/>
    </row>
    <row r="8" ht="26" customHeight="1">
      <c r="A8" s="14" t="inlineStr">
        <is>
          <t>旧タスクが新タスクより後に回転する確率</t>
        </is>
      </c>
      <c r="B8" s="12" t="n"/>
      <c r="C8" s="13" t="n"/>
      <c r="D8" s="18" t="n">
        <v>0.5</v>
      </c>
      <c r="E8" s="16" t="inlineStr">
        <is>
          <t>両タスクの書き込み位相が独立と仮定。この場合に被害が最大1時間まで伸びる</t>
        </is>
      </c>
      <c r="F8" s="12" t="n"/>
      <c r="G8" s="12" t="n"/>
      <c r="H8" s="12" t="n"/>
      <c r="I8" s="12" t="n"/>
      <c r="J8" s="12" t="n"/>
      <c r="K8" s="12" t="n"/>
      <c r="L8" s="12" t="n"/>
      <c r="M8" s="12" t="n"/>
      <c r="N8" s="13" t="n"/>
    </row>
    <row r="10" ht="20" customHeight="1">
      <c r="A10" s="3" t="inlineStr">
        <is>
          <t>■ 計算式</t>
        </is>
      </c>
    </row>
    <row r="11" ht="150" customHeight="1">
      <c r="A11" s="11" t="inlineStr">
        <is>
          <t>Δ（旧タスクの実回転時刻 − 時境界） ~ U(0, W)          … ロールオーバは次のログ出力で起きるため
D（新タスクの open 時刻 − 時境界）  ~ U(a, b)          … デプロイ構成に依存（シナリオごとに設定）
  L = MAX(a, 0)         U = MIN(b, W)
  P_B  = P(D &lt; Δ) = MAX(0, MIN(b,0) - a)/(b-a)  +  [ 1/((b-a)*W) ] * [ W*(U-L) - (U^2-L^2)/2 ]   （第2項は U&gt;L のときのみ）
  P_A  = 1.0                                                  … 重複期間がある限り必発
  P_D  = P_B                                                  … 発生条件が同一
  P_B1h = P_B * （旧タスクが後に回転する確率）                  … 被害が最大1ロール周期まで伸びるケース
  P_C  = G * MAX(0, U-L) / ((b-a)*W)                          … rename〜create の隙間に命中する確率</t>
        </is>
      </c>
      <c r="B11" s="12" t="n"/>
      <c r="C11" s="12" t="n"/>
      <c r="D11" s="12" t="n"/>
      <c r="E11" s="12" t="n"/>
      <c r="F11" s="12" t="n"/>
      <c r="G11" s="12" t="n"/>
      <c r="H11" s="12" t="n"/>
      <c r="I11" s="12" t="n"/>
      <c r="J11" s="12" t="n"/>
      <c r="K11" s="12" t="n"/>
      <c r="L11" s="12" t="n"/>
      <c r="M11" s="12" t="n"/>
      <c r="N11" s="13" t="n"/>
    </row>
    <row r="13" ht="20" customHeight="1">
      <c r="A13" s="3" t="inlineStr">
        <is>
          <t>■ シナリオ別の計算結果</t>
        </is>
      </c>
    </row>
    <row r="14" ht="30" customHeight="1">
      <c r="A14" s="4" t="inlineStr">
        <is>
          <t>ID</t>
        </is>
      </c>
      <c r="B14" s="4" t="inlineStr">
        <is>
          <t>シナリオ（新タスクが open するタイミング）</t>
        </is>
      </c>
      <c r="C14" s="4" t="inlineStr">
        <is>
          <t>a
(秒)</t>
        </is>
      </c>
      <c r="D14" s="4" t="inlineStr">
        <is>
          <t>b
(秒)</t>
        </is>
      </c>
      <c r="E14" s="4" t="inlineStr">
        <is>
          <t>L
=MAX(a,0)</t>
        </is>
      </c>
      <c r="F14" s="4" t="inlineStr">
        <is>
          <t>U
=MIN(b,W)</t>
        </is>
      </c>
      <c r="G14" s="4" t="inlineStr">
        <is>
          <t>P(D&lt;0)</t>
        </is>
      </c>
      <c r="H14" s="4" t="inlineStr">
        <is>
          <t>第2項</t>
        </is>
      </c>
      <c r="I14" s="4" t="inlineStr">
        <is>
          <t>P_B
回転前inode掴み</t>
        </is>
      </c>
      <c r="J14" s="4" t="inlineStr">
        <is>
          <t>P_B1h
1時間継続</t>
        </is>
      </c>
      <c r="K14" s="4" t="inlineStr">
        <is>
          <t>P_B1h
年間回数</t>
        </is>
      </c>
      <c r="L14" s="4" t="inlineStr">
        <is>
          <t>P_C
隙間命中</t>
        </is>
      </c>
      <c r="M14" s="4" t="inlineStr">
        <is>
          <t>P_C
年間回数</t>
        </is>
      </c>
      <c r="N14" s="4" t="inlineStr">
        <is>
          <t>P_C
何年に1回</t>
        </is>
      </c>
    </row>
    <row r="15" ht="34" customHeight="1">
      <c r="A15" s="5" t="inlineStr">
        <is>
          <t>S1</t>
        </is>
      </c>
      <c r="B15" s="6" t="inlineStr">
        <is>
          <t>デプロイ起動が 00:00:00 ちょうど。Fargate で起動所要 40〜90秒</t>
        </is>
      </c>
      <c r="C15" s="19" t="n">
        <v>40</v>
      </c>
      <c r="D15" s="19" t="n">
        <v>90</v>
      </c>
      <c r="E15" s="20">
        <f>MAX(C15,0)</f>
        <v/>
      </c>
      <c r="F15" s="20">
        <f>MIN(D15,$D$5)</f>
        <v/>
      </c>
      <c r="G15" s="21">
        <f>MAX(0,MIN(D15,0)-C15)/(D15-C15)</f>
        <v/>
      </c>
      <c r="H15" s="21">
        <f>IF(F15&gt;E15,(1/((D15-C15)*$D$5))*($D$5*(F15-E15)-(F15^2-E15^2)/2),0)</f>
        <v/>
      </c>
      <c r="I15" s="22">
        <f>MIN(1,G15+H15)</f>
        <v/>
      </c>
      <c r="J15" s="22">
        <f>I15*$D$8</f>
        <v/>
      </c>
      <c r="K15" s="23">
        <f>J15*$D$7</f>
        <v/>
      </c>
      <c r="L15" s="24">
        <f>$D$6*MAX(0,F15-E15)/((D15-C15)*$D$5)</f>
        <v/>
      </c>
      <c r="M15" s="25">
        <f>L15*$D$7</f>
        <v/>
      </c>
      <c r="N15" s="20">
        <f>IF(M15&gt;0,1/M15,"起こり得ない")</f>
        <v/>
      </c>
    </row>
    <row r="16" ht="34" customHeight="1">
      <c r="A16" s="7" t="inlineStr">
        <is>
          <t>S2</t>
        </is>
      </c>
      <c r="B16" s="8" t="inlineStr">
        <is>
          <t>EC2＋イメージキャッシュ済み・軽量JVM。起動所要 10〜40秒</t>
        </is>
      </c>
      <c r="C16" s="19" t="n">
        <v>10</v>
      </c>
      <c r="D16" s="19" t="n">
        <v>40</v>
      </c>
      <c r="E16" s="26">
        <f>MAX(C16,0)</f>
        <v/>
      </c>
      <c r="F16" s="26">
        <f>MIN(D16,$D$5)</f>
        <v/>
      </c>
      <c r="G16" s="27">
        <f>MAX(0,MIN(D16,0)-C16)/(D16-C16)</f>
        <v/>
      </c>
      <c r="H16" s="27">
        <f>IF(F16&gt;E16,(1/((D16-C16)*$D$5))*($D$5*(F16-E16)-(F16^2-E16^2)/2),0)</f>
        <v/>
      </c>
      <c r="I16" s="28">
        <f>MIN(1,G16+H16)</f>
        <v/>
      </c>
      <c r="J16" s="28">
        <f>I16*$D$8</f>
        <v/>
      </c>
      <c r="K16" s="29">
        <f>J16*$D$7</f>
        <v/>
      </c>
      <c r="L16" s="30">
        <f>$D$6*MAX(0,F16-E16)/((D16-C16)*$D$5)</f>
        <v/>
      </c>
      <c r="M16" s="31">
        <f>L16*$D$7</f>
        <v/>
      </c>
      <c r="N16" s="26">
        <f>IF(M16&gt;0,1/M16,"起こり得ない")</f>
        <v/>
      </c>
    </row>
    <row r="17" ht="34" customHeight="1">
      <c r="A17" s="5" t="inlineStr">
        <is>
          <t>S3</t>
        </is>
      </c>
      <c r="B17" s="6" t="inlineStr">
        <is>
          <t>スケジューラのジッタ ±60秒あり（D が境界前後にばらつく）</t>
        </is>
      </c>
      <c r="C17" s="19" t="n">
        <v>-60</v>
      </c>
      <c r="D17" s="19" t="n">
        <v>90</v>
      </c>
      <c r="E17" s="20">
        <f>MAX(C17,0)</f>
        <v/>
      </c>
      <c r="F17" s="20">
        <f>MIN(D17,$D$5)</f>
        <v/>
      </c>
      <c r="G17" s="21">
        <f>MAX(0,MIN(D17,0)-C17)/(D17-C17)</f>
        <v/>
      </c>
      <c r="H17" s="21">
        <f>IF(F17&gt;E17,(1/((D17-C17)*$D$5))*($D$5*(F17-E17)-(F17^2-E17^2)/2),0)</f>
        <v/>
      </c>
      <c r="I17" s="22">
        <f>MIN(1,G17+H17)</f>
        <v/>
      </c>
      <c r="J17" s="22">
        <f>I17*$D$8</f>
        <v/>
      </c>
      <c r="K17" s="23">
        <f>J17*$D$7</f>
        <v/>
      </c>
      <c r="L17" s="24">
        <f>$D$6*MAX(0,F17-E17)/((D17-C17)*$D$5)</f>
        <v/>
      </c>
      <c r="M17" s="25">
        <f>L17*$D$7</f>
        <v/>
      </c>
      <c r="N17" s="20">
        <f>IF(M17&gt;0,1/M17,"起こり得ない")</f>
        <v/>
      </c>
    </row>
    <row r="18" ht="34" customHeight="1">
      <c r="A18" s="7" t="inlineStr">
        <is>
          <t>S4</t>
        </is>
      </c>
      <c r="B18" s="8" t="inlineStr">
        <is>
          <t>パイプラインが 23:57 に起動し、タスクが 23:58〜23:59 に立つ</t>
        </is>
      </c>
      <c r="C18" s="19" t="n">
        <v>-180</v>
      </c>
      <c r="D18" s="19" t="n">
        <v>-30</v>
      </c>
      <c r="E18" s="26">
        <f>MAX(C18,0)</f>
        <v/>
      </c>
      <c r="F18" s="26">
        <f>MIN(D18,$D$5)</f>
        <v/>
      </c>
      <c r="G18" s="27">
        <f>MAX(0,MIN(D18,0)-C18)/(D18-C18)</f>
        <v/>
      </c>
      <c r="H18" s="27">
        <f>IF(F18&gt;E18,(1/((D18-C18)*$D$5))*($D$5*(F18-E18)-(F18^2-E18^2)/2),0)</f>
        <v/>
      </c>
      <c r="I18" s="28">
        <f>MIN(1,G18+H18)</f>
        <v/>
      </c>
      <c r="J18" s="28">
        <f>I18*$D$8</f>
        <v/>
      </c>
      <c r="K18" s="29">
        <f>J18*$D$7</f>
        <v/>
      </c>
      <c r="L18" s="30">
        <f>$D$6*MAX(0,F18-E18)/((D18-C18)*$D$5)</f>
        <v/>
      </c>
      <c r="M18" s="31">
        <f>L18*$D$7</f>
        <v/>
      </c>
      <c r="N18" s="26">
        <f>IF(M18&gt;0,1/M18,"起こり得ない")</f>
        <v/>
      </c>
    </row>
    <row r="19" ht="34" customHeight="1">
      <c r="A19" s="5" t="inlineStr">
        <is>
          <t>S5</t>
        </is>
      </c>
      <c r="B19" s="6" t="inlineStr">
        <is>
          <t>起動所要が 0〜300秒に大きくばらつく</t>
        </is>
      </c>
      <c r="C19" s="19" t="n">
        <v>0</v>
      </c>
      <c r="D19" s="19" t="n">
        <v>300</v>
      </c>
      <c r="E19" s="20">
        <f>MAX(C19,0)</f>
        <v/>
      </c>
      <c r="F19" s="20">
        <f>MIN(D19,$D$5)</f>
        <v/>
      </c>
      <c r="G19" s="21">
        <f>MAX(0,MIN(D19,0)-C19)/(D19-C19)</f>
        <v/>
      </c>
      <c r="H19" s="21">
        <f>IF(F19&gt;E19,(1/((D19-C19)*$D$5))*($D$5*(F19-E19)-(F19^2-E19^2)/2),0)</f>
        <v/>
      </c>
      <c r="I19" s="22">
        <f>MIN(1,G19+H19)</f>
        <v/>
      </c>
      <c r="J19" s="22">
        <f>I19*$D$8</f>
        <v/>
      </c>
      <c r="K19" s="23">
        <f>J19*$D$7</f>
        <v/>
      </c>
      <c r="L19" s="24">
        <f>$D$6*MAX(0,F19-E19)/((D19-C19)*$D$5)</f>
        <v/>
      </c>
      <c r="M19" s="25">
        <f>L19*$D$7</f>
        <v/>
      </c>
      <c r="N19" s="20">
        <f>IF(M19&gt;0,1/M19,"起こり得ない")</f>
        <v/>
      </c>
    </row>
    <row r="21" ht="30" customHeight="1">
      <c r="A21" s="4" t="inlineStr"/>
      <c r="B21" s="4" t="inlineStr">
        <is>
          <t>参考：シナリオAは条件によらず常に 100%</t>
        </is>
      </c>
      <c r="C21" s="4" t="inlineStr"/>
      <c r="D21" s="4" t="inlineStr"/>
      <c r="E21" s="4" t="inlineStr"/>
      <c r="F21" s="4" t="inlineStr"/>
      <c r="G21" s="4" t="inlineStr"/>
      <c r="H21" s="4" t="inlineStr"/>
      <c r="I21" s="4" t="inlineStr">
        <is>
          <t>P_A</t>
        </is>
      </c>
      <c r="J21" s="4" t="inlineStr"/>
      <c r="K21" s="4" t="inlineStr">
        <is>
          <t>年間回数</t>
        </is>
      </c>
      <c r="L21" s="4" t="inlineStr"/>
      <c r="M21" s="4" t="inlineStr"/>
      <c r="N21" s="4" t="inlineStr"/>
    </row>
    <row r="22" ht="30" customHeight="1">
      <c r="A22" s="32" t="n"/>
      <c r="B22" s="10" t="inlineStr">
        <is>
          <t>シナリオA（2タスク同時追記）は重複期間がある限り必ず発生するため、モデル計算の対象外（常に1.0）</t>
        </is>
      </c>
      <c r="C22" s="32" t="n"/>
      <c r="D22" s="32" t="n"/>
      <c r="E22" s="32" t="n"/>
      <c r="F22" s="32" t="n"/>
      <c r="G22" s="32" t="n"/>
      <c r="H22" s="32" t="n"/>
      <c r="I22" s="33" t="n">
        <v>1</v>
      </c>
      <c r="J22" s="32" t="n"/>
      <c r="K22" s="34">
        <f>I22*$D$7</f>
        <v/>
      </c>
      <c r="L22" s="32" t="n"/>
      <c r="M22" s="32" t="n"/>
      <c r="N22" s="32" t="n"/>
    </row>
    <row r="24" ht="20" customHeight="1">
      <c r="A24" s="3" t="inlineStr">
        <is>
          <t>■ 読み方</t>
        </is>
      </c>
    </row>
    <row r="25" ht="26" customHeight="1">
      <c r="A25" s="35" t="inlineStr">
        <is>
          <t>1</t>
        </is>
      </c>
      <c r="B25" s="6" t="inlineStr">
        <is>
          <t>P_A は全シナリオで 100%。つまり年 365 回のログ破損は「すでに起きている」と考えるべきで、これが最優先課題です。</t>
        </is>
      </c>
      <c r="C25" s="12" t="n"/>
      <c r="D25" s="12" t="n"/>
      <c r="E25" s="12" t="n"/>
      <c r="F25" s="12" t="n"/>
      <c r="G25" s="12" t="n"/>
      <c r="H25" s="12" t="n"/>
      <c r="I25" s="12" t="n"/>
      <c r="J25" s="12" t="n"/>
      <c r="K25" s="12" t="n"/>
      <c r="L25" s="12" t="n"/>
      <c r="M25" s="12" t="n"/>
      <c r="N25" s="13" t="n"/>
    </row>
    <row r="26" ht="26" customHeight="1">
      <c r="A26" s="35" t="inlineStr">
        <is>
          <t>2</t>
        </is>
      </c>
      <c r="B26" s="6" t="inlineStr">
        <is>
          <t>シナリオ B/D は「新タスクが立つ時刻」が 00:00:00 より前に寄るほど急激に悪化します。S4 のように前日中にタスクが立つ構成なら毎日100%です。</t>
        </is>
      </c>
      <c r="C26" s="12" t="n"/>
      <c r="D26" s="12" t="n"/>
      <c r="E26" s="12" t="n"/>
      <c r="F26" s="12" t="n"/>
      <c r="G26" s="12" t="n"/>
      <c r="H26" s="12" t="n"/>
      <c r="I26" s="12" t="n"/>
      <c r="J26" s="12" t="n"/>
      <c r="K26" s="12" t="n"/>
      <c r="L26" s="12" t="n"/>
      <c r="M26" s="12" t="n"/>
      <c r="N26" s="13" t="n"/>
    </row>
    <row r="27" ht="26" customHeight="1">
      <c r="A27" s="35" t="inlineStr">
        <is>
          <t>3</t>
        </is>
      </c>
      <c r="B27" s="6" t="inlineStr">
        <is>
          <t>シナリオ C（rename〜create の隙間）は数十年〜数百年に1回のオーダーで、実務上は無視してかまいません。ここを心配する必要はありません。</t>
        </is>
      </c>
      <c r="C27" s="12" t="n"/>
      <c r="D27" s="12" t="n"/>
      <c r="E27" s="12" t="n"/>
      <c r="F27" s="12" t="n"/>
      <c r="G27" s="12" t="n"/>
      <c r="H27" s="12" t="n"/>
      <c r="I27" s="12" t="n"/>
      <c r="J27" s="12" t="n"/>
      <c r="K27" s="12" t="n"/>
      <c r="L27" s="12" t="n"/>
      <c r="M27" s="12" t="n"/>
      <c r="N27" s="13" t="n"/>
    </row>
    <row r="28" ht="26" customHeight="1">
      <c r="A28" s="35" t="inlineStr">
        <is>
          <t>4</t>
        </is>
      </c>
      <c r="B28" s="6" t="inlineStr">
        <is>
          <t>S1 で P_B = 0 でも「安全」ではありません。P_A = 100% は変わらないからです。</t>
        </is>
      </c>
      <c r="C28" s="12" t="n"/>
      <c r="D28" s="12" t="n"/>
      <c r="E28" s="12" t="n"/>
      <c r="F28" s="12" t="n"/>
      <c r="G28" s="12" t="n"/>
      <c r="H28" s="12" t="n"/>
      <c r="I28" s="12" t="n"/>
      <c r="J28" s="12" t="n"/>
      <c r="K28" s="12" t="n"/>
      <c r="L28" s="12" t="n"/>
      <c r="M28" s="12" t="n"/>
      <c r="N28" s="13" t="n"/>
    </row>
    <row r="30">
      <c r="A30" s="2" t="inlineStr">
        <is>
          <t>【前提・出典】W=30秒 はユーザー提示値。Δ~U(0,W) は書き込みタイミングと時境界の位相が無相関という仮定。D の範囲は ECS 起動所要時間の実測が無いためシナリオごとの想定値です。G=2ms は EFS メタデータ往復の推定値であり実測値ではありません。旧タスクが後に回転する確率 0.5 は両タスクの書き込み位相が独立という仮定に基づきます。すべてモデルであり実測値ではありません。</t>
        </is>
      </c>
    </row>
  </sheetData>
  <mergeCells count="20">
    <mergeCell ref="E6:N6"/>
    <mergeCell ref="A24:N24"/>
    <mergeCell ref="A30:N30"/>
    <mergeCell ref="E7:N7"/>
    <mergeCell ref="A11:N11"/>
    <mergeCell ref="A1:N1"/>
    <mergeCell ref="A5:C5"/>
    <mergeCell ref="A8:C8"/>
    <mergeCell ref="B26:N26"/>
    <mergeCell ref="B25:N25"/>
    <mergeCell ref="E5:N5"/>
    <mergeCell ref="E8:N8"/>
    <mergeCell ref="B27:N27"/>
    <mergeCell ref="A2:N2"/>
    <mergeCell ref="A4:N4"/>
    <mergeCell ref="A6:C6"/>
    <mergeCell ref="A10:N10"/>
    <mergeCell ref="A7:C7"/>
    <mergeCell ref="A13:N13"/>
    <mergeCell ref="B28:N28"/>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BF8F00"/>
    <outlinePr summaryBelow="1" summaryRight="1"/>
    <pageSetUpPr/>
  </sheetPr>
  <dimension ref="A1:I20"/>
  <sheetViews>
    <sheetView showGridLines="0" workbookViewId="0">
      <pane ySplit="8" topLeftCell="A9" activePane="bottomLeft" state="frozen"/>
      <selection pane="bottomLeft" activeCell="A1" sqref="A1"/>
    </sheetView>
  </sheetViews>
  <sheetFormatPr baseColWidth="8" defaultRowHeight="15"/>
  <cols>
    <col width="8" customWidth="1" min="1" max="1"/>
    <col width="18" customWidth="1" min="2" max="2"/>
    <col width="12" customWidth="1" min="3" max="3"/>
    <col width="12" customWidth="1" min="4" max="4"/>
    <col width="12" customWidth="1" min="5" max="5"/>
    <col width="12" customWidth="1" min="6" max="6"/>
    <col width="14" customWidth="1" min="7" max="7"/>
    <col width="14" customWidth="1" min="8" max="8"/>
    <col width="56" customWidth="1" min="9" max="9"/>
  </cols>
  <sheetData>
    <row r="1" ht="24" customHeight="1">
      <c r="A1" s="1" t="inlineStr">
        <is>
          <t>感度分析 — ログ書き込み間隔 W が P_B に与える影響</t>
        </is>
      </c>
    </row>
    <row r="2">
      <c r="A2" s="2" t="inlineStr">
        <is>
          <t>D ~ U(a, b) を固定して W だけを変えます。黄色セルが入力です。</t>
        </is>
      </c>
    </row>
    <row r="4" ht="22" customHeight="1">
      <c r="A4" s="14" t="inlineStr">
        <is>
          <t>a：D の下限（秒）</t>
        </is>
      </c>
      <c r="B4" s="13" t="n"/>
      <c r="C4" s="19" t="n">
        <v>-60</v>
      </c>
      <c r="D4" s="16" t="inlineStr">
        <is>
          <t>スケジューラのジッタ ±60秒を想定</t>
        </is>
      </c>
      <c r="E4" s="12" t="n"/>
      <c r="F4" s="12" t="n"/>
      <c r="G4" s="12" t="n"/>
      <c r="H4" s="12" t="n"/>
      <c r="I4" s="13" t="n"/>
    </row>
    <row r="5" ht="22" customHeight="1">
      <c r="A5" s="14" t="inlineStr">
        <is>
          <t>b：D の上限（秒）</t>
        </is>
      </c>
      <c r="B5" s="13" t="n"/>
      <c r="C5" s="19" t="n">
        <v>90</v>
      </c>
      <c r="D5" s="16" t="inlineStr">
        <is>
          <t>起動所要が最大90秒かかる想定</t>
        </is>
      </c>
      <c r="E5" s="12" t="n"/>
      <c r="F5" s="12" t="n"/>
      <c r="G5" s="12" t="n"/>
      <c r="H5" s="12" t="n"/>
      <c r="I5" s="13" t="n"/>
    </row>
    <row r="7" ht="20" customHeight="1">
      <c r="A7" s="3" t="inlineStr">
        <is>
          <t>■ W を変えたときの P_B</t>
        </is>
      </c>
    </row>
    <row r="8" ht="30" customHeight="1">
      <c r="A8" s="4" t="inlineStr">
        <is>
          <t>#</t>
        </is>
      </c>
      <c r="B8" s="4" t="inlineStr">
        <is>
          <t>W：書き込み間隔</t>
        </is>
      </c>
      <c r="C8" s="4" t="inlineStr">
        <is>
          <t>L</t>
        </is>
      </c>
      <c r="D8" s="4" t="inlineStr">
        <is>
          <t>U</t>
        </is>
      </c>
      <c r="E8" s="4" t="inlineStr">
        <is>
          <t>P(D&lt;0)</t>
        </is>
      </c>
      <c r="F8" s="4" t="inlineStr">
        <is>
          <t>第2項</t>
        </is>
      </c>
      <c r="G8" s="4" t="inlineStr">
        <is>
          <t>P_B</t>
        </is>
      </c>
      <c r="H8" s="4" t="inlineStr">
        <is>
          <t>P_B1h</t>
        </is>
      </c>
      <c r="I8" s="4" t="inlineStr">
        <is>
          <t>コメント</t>
        </is>
      </c>
    </row>
    <row r="9" ht="22" customHeight="1">
      <c r="A9" s="5" t="n">
        <v>1</v>
      </c>
      <c r="B9" s="36" t="n">
        <v>1</v>
      </c>
      <c r="C9" s="20">
        <f>MAX($C$4,0)</f>
        <v/>
      </c>
      <c r="D9" s="20">
        <f>MIN($C$5,B9)</f>
        <v/>
      </c>
      <c r="E9" s="21">
        <f>MAX(0,MIN($C$5,0)-$C$4)/($C$5-$C$4)</f>
        <v/>
      </c>
      <c r="F9" s="21">
        <f>IF(D9&gt;C9,(1/(($C$5-$C$4)*B9))*(B9*(D9-C9)-(D9^2-C9^2)/2),0)</f>
        <v/>
      </c>
      <c r="G9" s="22">
        <f>MIN(1,E9+F9)</f>
        <v/>
      </c>
      <c r="H9" s="21">
        <f>G9*0.5</f>
        <v/>
      </c>
      <c r="I9" s="6" t="inlineStr">
        <is>
          <t>境界後の危険な窓はわずか1秒。ほぼ P(D&lt;0) の値に一致する</t>
        </is>
      </c>
    </row>
    <row r="10" ht="22" customHeight="1">
      <c r="A10" s="7" t="n">
        <v>2</v>
      </c>
      <c r="B10" s="36" t="n">
        <v>5</v>
      </c>
      <c r="C10" s="26">
        <f>MAX($C$4,0)</f>
        <v/>
      </c>
      <c r="D10" s="26">
        <f>MIN($C$5,B10)</f>
        <v/>
      </c>
      <c r="E10" s="27">
        <f>MAX(0,MIN($C$5,0)-$C$4)/($C$5-$C$4)</f>
        <v/>
      </c>
      <c r="F10" s="27">
        <f>IF(D10&gt;C10,(1/(($C$5-$C$4)*B10))*(B10*(D10-C10)-(D10^2-C10^2)/2),0)</f>
        <v/>
      </c>
      <c r="G10" s="28">
        <f>MIN(1,E10+F10)</f>
        <v/>
      </c>
      <c r="H10" s="27">
        <f>G10*0.5</f>
        <v/>
      </c>
      <c r="I10" s="8" t="inlineStr"/>
    </row>
    <row r="11" ht="22" customHeight="1">
      <c r="A11" s="5" t="n">
        <v>3</v>
      </c>
      <c r="B11" s="36" t="n">
        <v>10</v>
      </c>
      <c r="C11" s="20">
        <f>MAX($C$4,0)</f>
        <v/>
      </c>
      <c r="D11" s="20">
        <f>MIN($C$5,B11)</f>
        <v/>
      </c>
      <c r="E11" s="21">
        <f>MAX(0,MIN($C$5,0)-$C$4)/($C$5-$C$4)</f>
        <v/>
      </c>
      <c r="F11" s="21">
        <f>IF(D11&gt;C11,(1/(($C$5-$C$4)*B11))*(B11*(D11-C11)-(D11^2-C11^2)/2),0)</f>
        <v/>
      </c>
      <c r="G11" s="22">
        <f>MIN(1,E11+F11)</f>
        <v/>
      </c>
      <c r="H11" s="21">
        <f>G11*0.5</f>
        <v/>
      </c>
      <c r="I11" s="6" t="inlineStr"/>
    </row>
    <row r="12" ht="22" customHeight="1">
      <c r="A12" s="9" t="n">
        <v>4</v>
      </c>
      <c r="B12" s="37" t="n">
        <v>30</v>
      </c>
      <c r="C12" s="38">
        <f>MAX($C$4,0)</f>
        <v/>
      </c>
      <c r="D12" s="38">
        <f>MIN($C$5,B12)</f>
        <v/>
      </c>
      <c r="E12" s="39">
        <f>MAX(0,MIN($C$5,0)-$C$4)/($C$5-$C$4)</f>
        <v/>
      </c>
      <c r="F12" s="39">
        <f>IF(D12&gt;C12,(1/(($C$5-$C$4)*B12))*(B12*(D12-C12)-(D12^2-C12^2)/2),0)</f>
        <v/>
      </c>
      <c r="G12" s="40">
        <f>MIN(1,E12+F12)</f>
        <v/>
      </c>
      <c r="H12" s="39">
        <f>G12*0.5</f>
        <v/>
      </c>
      <c r="I12" s="10" t="inlineStr">
        <is>
          <t>★現在の設定</t>
        </is>
      </c>
    </row>
    <row r="13" ht="22" customHeight="1">
      <c r="A13" s="5" t="n">
        <v>5</v>
      </c>
      <c r="B13" s="36" t="n">
        <v>60</v>
      </c>
      <c r="C13" s="20">
        <f>MAX($C$4,0)</f>
        <v/>
      </c>
      <c r="D13" s="20">
        <f>MIN($C$5,B13)</f>
        <v/>
      </c>
      <c r="E13" s="21">
        <f>MAX(0,MIN($C$5,0)-$C$4)/($C$5-$C$4)</f>
        <v/>
      </c>
      <c r="F13" s="21">
        <f>IF(D13&gt;C13,(1/(($C$5-$C$4)*B13))*(B13*(D13-C13)-(D13^2-C13^2)/2),0)</f>
        <v/>
      </c>
      <c r="G13" s="22">
        <f>MIN(1,E13+F13)</f>
        <v/>
      </c>
      <c r="H13" s="21">
        <f>G13*0.5</f>
        <v/>
      </c>
      <c r="I13" s="6" t="inlineStr"/>
    </row>
    <row r="14" ht="22" customHeight="1">
      <c r="A14" s="7" t="n">
        <v>6</v>
      </c>
      <c r="B14" s="36" t="n">
        <v>120</v>
      </c>
      <c r="C14" s="26">
        <f>MAX($C$4,0)</f>
        <v/>
      </c>
      <c r="D14" s="26">
        <f>MIN($C$5,B14)</f>
        <v/>
      </c>
      <c r="E14" s="27">
        <f>MAX(0,MIN($C$5,0)-$C$4)/($C$5-$C$4)</f>
        <v/>
      </c>
      <c r="F14" s="27">
        <f>IF(D14&gt;C14,(1/(($C$5-$C$4)*B14))*(B14*(D14-C14)-(D14^2-C14^2)/2),0)</f>
        <v/>
      </c>
      <c r="G14" s="28">
        <f>MIN(1,E14+F14)</f>
        <v/>
      </c>
      <c r="H14" s="27">
        <f>G14*0.5</f>
        <v/>
      </c>
      <c r="I14" s="8" t="inlineStr"/>
    </row>
    <row r="15" ht="22" customHeight="1">
      <c r="A15" s="5" t="n">
        <v>7</v>
      </c>
      <c r="B15" s="36" t="n">
        <v>300</v>
      </c>
      <c r="C15" s="20">
        <f>MAX($C$4,0)</f>
        <v/>
      </c>
      <c r="D15" s="20">
        <f>MIN($C$5,B15)</f>
        <v/>
      </c>
      <c r="E15" s="21">
        <f>MAX(0,MIN($C$5,0)-$C$4)/($C$5-$C$4)</f>
        <v/>
      </c>
      <c r="F15" s="21">
        <f>IF(D15&gt;C15,(1/(($C$5-$C$4)*B15))*(B15*(D15-C15)-(D15^2-C15^2)/2),0)</f>
        <v/>
      </c>
      <c r="G15" s="22">
        <f>MIN(1,E15+F15)</f>
        <v/>
      </c>
      <c r="H15" s="21">
        <f>G15*0.5</f>
        <v/>
      </c>
      <c r="I15" s="6" t="inlineStr">
        <is>
          <t>回転が最大5分遅れる＝危険な窓が5分間も開き続ける</t>
        </is>
      </c>
    </row>
    <row r="17" ht="20" customHeight="1">
      <c r="A17" s="3" t="inlineStr">
        <is>
          <t>■ 直感に反する重要な結論</t>
        </is>
      </c>
    </row>
    <row r="18" ht="76" customHeight="1">
      <c r="A18" s="41" t="inlineStr">
        <is>
          <t>ログの書き込み間隔が長いほど危険です。
ロールオーバは「次のログ出力」でしか起きないため、書き込みが疎なほど回転が遅れ、新タスクが回転前ファイルを掴む窓（時境界〜実回転までの時間）が広がります。
したがって「トレースログの量を減らせば安全になる」は逆効果です。
ただし書き込み間隔を短くしても確率が下がるだけで根治にはならず、EFS の I/O コストとレイテンシが増えます。本対策（案1または案2）を優先してください。</t>
        </is>
      </c>
      <c r="B18" s="12" t="n"/>
      <c r="C18" s="12" t="n"/>
      <c r="D18" s="12" t="n"/>
      <c r="E18" s="12" t="n"/>
      <c r="F18" s="12" t="n"/>
      <c r="G18" s="12" t="n"/>
      <c r="H18" s="12" t="n"/>
      <c r="I18" s="13" t="n"/>
    </row>
    <row r="20" ht="140" customHeight="1">
      <c r="A20" s="11" t="inlineStr">
        <is>
          <t>書き込み間隔 30秒の場合:                        書き込み間隔 1秒の場合:
 23:59:45 ●書込   &lt;- trace.log は inode #1        23:59:59 ●書込
 00:00:00 |  &lt;- 時境界（誰も何もしない）           00:00:00 |  &lt;- 時境界
          |  &lt;- ★危険な窓（30秒間ずっと開く）★             |  &lt;- 危険な窓は1秒だけ
 00:00:15 ●書込 -&gt; ここで初めて回転する            00:00:00 ●書込 -&gt; すぐ回転
 この窓の間に新タスクが open すると、            窓が 1/30 に縮むので
 回転前の inode #1 を掴んでしまう。              事故確率も大きく下がる。</t>
        </is>
      </c>
      <c r="B20" s="12" t="n"/>
      <c r="C20" s="12" t="n"/>
      <c r="D20" s="12" t="n"/>
      <c r="E20" s="12" t="n"/>
      <c r="F20" s="12" t="n"/>
      <c r="G20" s="12" t="n"/>
      <c r="H20" s="12" t="n"/>
      <c r="I20" s="13" t="n"/>
    </row>
  </sheetData>
  <mergeCells count="10">
    <mergeCell ref="A4:B4"/>
    <mergeCell ref="A7:I7"/>
    <mergeCell ref="A2:I2"/>
    <mergeCell ref="D4:I4"/>
    <mergeCell ref="D5:I5"/>
    <mergeCell ref="A5:B5"/>
    <mergeCell ref="A1:I1"/>
    <mergeCell ref="A17:I17"/>
    <mergeCell ref="A18:I18"/>
    <mergeCell ref="A20:I20"/>
  </mergeCells>
  <pageMargins left="0.75" right="0.75" top="1" bottom="1" header="0.5" footer="0.5"/>
</worksheet>
</file>

<file path=xl/worksheets/sheet8.xml><?xml version="1.0" encoding="utf-8"?>
<worksheet xmlns="http://schemas.openxmlformats.org/spreadsheetml/2006/main">
  <sheetPr>
    <tabColor rgb="0000B050"/>
    <outlinePr summaryBelow="1" summaryRight="1"/>
    <pageSetUpPr/>
  </sheetPr>
  <dimension ref="A1:I28"/>
  <sheetViews>
    <sheetView showGridLines="0" workbookViewId="0">
      <pane ySplit="3" topLeftCell="A4" activePane="bottomLeft" state="frozen"/>
      <selection pane="bottomLeft" activeCell="A1" sqref="A1"/>
    </sheetView>
  </sheetViews>
  <sheetFormatPr baseColWidth="8" defaultRowHeight="15"/>
  <cols>
    <col width="6" customWidth="1" min="1" max="1"/>
    <col width="40" customWidth="1" min="2" max="2"/>
    <col width="14" customWidth="1" min="3" max="3"/>
    <col width="12" customWidth="1" min="4" max="4"/>
    <col width="20" customWidth="1" min="5" max="5"/>
    <col width="10" customWidth="1" min="6" max="6"/>
    <col width="46" customWidth="1" min="7" max="7"/>
    <col width="12" customWidth="1" min="8" max="8"/>
    <col width="10" customWidth="1" min="9" max="9"/>
  </cols>
  <sheetData>
    <row r="1" ht="24" customHeight="1">
      <c r="A1" s="1" t="inlineStr">
        <is>
          <t>対策案 18 件の比較</t>
        </is>
      </c>
    </row>
    <row r="2">
      <c r="A2" s="2" t="inlineStr">
        <is>
          <t>「効果」列が【根治】の案のみが、シナリオ A〜F を原理的に消滅させます。それ以外は確率を下げるだけ、または無効です。</t>
        </is>
      </c>
    </row>
    <row r="4" ht="30" customHeight="1">
      <c r="A4" s="4" t="inlineStr">
        <is>
          <t>#</t>
        </is>
      </c>
      <c r="B4" s="4" t="inlineStr">
        <is>
          <t>対策</t>
        </is>
      </c>
      <c r="C4" s="4" t="inlineStr">
        <is>
          <t>効果</t>
        </is>
      </c>
      <c r="D4" s="4" t="inlineStr">
        <is>
          <t>分類</t>
        </is>
      </c>
      <c r="E4" s="4" t="inlineStr">
        <is>
          <t>解決するシナリオ</t>
        </is>
      </c>
      <c r="F4" s="4" t="inlineStr">
        <is>
          <t>工数</t>
        </is>
      </c>
      <c r="G4" s="4" t="inlineStr">
        <is>
          <t>副作用・注意点</t>
        </is>
      </c>
      <c r="H4" s="4" t="inlineStr">
        <is>
          <t>推奨度</t>
        </is>
      </c>
      <c r="I4" s="4" t="inlineStr">
        <is>
          <t>実施順</t>
        </is>
      </c>
    </row>
    <row r="5" ht="48" customHeight="1">
      <c r="A5" s="5" t="inlineStr">
        <is>
          <t>1</t>
        </is>
      </c>
      <c r="B5" s="6" t="inlineStr">
        <is>
          <t>stdout へ出力し awslogs / FireLens(Fluent Bit) で送る</t>
        </is>
      </c>
      <c r="C5" s="42" t="inlineStr">
        <is>
          <t>【根治】</t>
        </is>
      </c>
      <c r="D5" s="5" t="inlineStr">
        <is>
          <t>アーキテクチャ</t>
        </is>
      </c>
      <c r="E5" s="6" t="inlineStr">
        <is>
          <t>A B C D E F すべて</t>
        </is>
      </c>
      <c r="F5" s="5" t="inlineStr">
        <is>
          <t>中</t>
        </is>
      </c>
      <c r="G5" s="6" t="inlineStr">
        <is>
          <t>既存の EFS 直読みバッチの改修が必要。CloudWatch Logs の取り込み課金が発生。12-Factor App 第XI条そのもの</t>
        </is>
      </c>
      <c r="H5" s="5" t="inlineStr">
        <is>
          <t>★★★★★</t>
        </is>
      </c>
      <c r="I5" s="5" t="inlineStr">
        <is>
          <t>本命</t>
        </is>
      </c>
    </row>
    <row r="6" ht="48" customHeight="1">
      <c r="A6" s="7" t="inlineStr">
        <is>
          <t>2</t>
        </is>
      </c>
      <c r="B6" s="8" t="inlineStr">
        <is>
          <t>fileName を省略（DirectWrite）＋ パスにタスクIDを埋める</t>
        </is>
      </c>
      <c r="C6" s="42" t="inlineStr">
        <is>
          <t>【根治】</t>
        </is>
      </c>
      <c r="D6" s="7" t="inlineStr">
        <is>
          <t>設定変更</t>
        </is>
      </c>
      <c r="E6" s="8" t="inlineStr">
        <is>
          <t>A B C D E F すべて</t>
        </is>
      </c>
      <c r="F6" s="7" t="inlineStr">
        <is>
          <t>小</t>
        </is>
      </c>
      <c r="G6" s="8" t="inlineStr">
        <is>
          <t>ファイル数が増える。Delete アクションでの世代管理と収集側 glob の改修が必要。★設定1箇所＋entrypoint数行で済む最短の根治策</t>
        </is>
      </c>
      <c r="H6" s="7" t="inlineStr">
        <is>
          <t>★★★★★</t>
        </is>
      </c>
      <c r="I6" s="7" t="inlineStr">
        <is>
          <t>本命</t>
        </is>
      </c>
    </row>
    <row r="7" ht="48" customHeight="1">
      <c r="A7" s="5" t="inlineStr">
        <is>
          <t>3</t>
        </is>
      </c>
      <c r="B7" s="6" t="inlineStr">
        <is>
          <t>パスにタスクIDを埋める（fileName は従来どおり残す）</t>
        </is>
      </c>
      <c r="C7" s="42" t="inlineStr">
        <is>
          <t>【根治】</t>
        </is>
      </c>
      <c r="D7" s="5" t="inlineStr">
        <is>
          <t>設定変更</t>
        </is>
      </c>
      <c r="E7" s="6" t="inlineStr">
        <is>
          <t>A B C D E F すべて</t>
        </is>
      </c>
      <c r="F7" s="5" t="inlineStr">
        <is>
          <t>小</t>
        </is>
      </c>
      <c r="G7" s="6" t="inlineStr">
        <is>
          <t>rename は残るが自タスク内で完結するので安全。案2 より変更は小さいが、rename 起因の他の問題（gz 競合等）は自タスク内に残る</t>
        </is>
      </c>
      <c r="H7" s="5" t="inlineStr">
        <is>
          <t>★★★★★</t>
        </is>
      </c>
      <c r="I7" s="5" t="inlineStr">
        <is>
          <t>代替</t>
        </is>
      </c>
    </row>
    <row r="8" ht="48" customHeight="1">
      <c r="A8" s="7" t="inlineStr">
        <is>
          <t>4</t>
        </is>
      </c>
      <c r="B8" s="8" t="inlineStr">
        <is>
          <t>fileName を省略（DirectWrite）のみ。パスは共有のまま</t>
        </is>
      </c>
      <c r="C8" s="7" t="inlineStr">
        <is>
          <t>部分的</t>
        </is>
      </c>
      <c r="D8" s="7" t="inlineStr">
        <is>
          <t>設定変更</t>
        </is>
      </c>
      <c r="E8" s="8" t="inlineStr">
        <is>
          <t>B C D E（rename が消える）</t>
        </is>
      </c>
      <c r="F8" s="7" t="inlineStr">
        <is>
          <t>小</t>
        </is>
      </c>
      <c r="G8" s="8" t="inlineStr">
        <is>
          <t>★A（2タスク同時追記）が残るため不十分。単独では採用しないこと</t>
        </is>
      </c>
      <c r="H8" s="7" t="inlineStr">
        <is>
          <t>★★☆☆☆</t>
        </is>
      </c>
      <c r="I8" s="7" t="inlineStr">
        <is>
          <t>—</t>
        </is>
      </c>
    </row>
    <row r="9" ht="48" customHeight="1">
      <c r="A9" s="5" t="inlineStr">
        <is>
          <t>5</t>
        </is>
      </c>
      <c r="B9" s="6" t="inlineStr">
        <is>
          <t>EFS ではなくタスクのエフェメラルストレージに書き、サイドカーで転送</t>
        </is>
      </c>
      <c r="C9" s="42" t="inlineStr">
        <is>
          <t>【根治】</t>
        </is>
      </c>
      <c r="D9" s="5" t="inlineStr">
        <is>
          <t>アーキテクチャ</t>
        </is>
      </c>
      <c r="E9" s="6" t="inlineStr">
        <is>
          <t>A B C D E F すべて</t>
        </is>
      </c>
      <c r="F9" s="5" t="inlineStr">
        <is>
          <t>中</t>
        </is>
      </c>
      <c r="G9" s="6" t="inlineStr">
        <is>
          <t>Fargate は既定 20GiB（最大200GiB）。タスク終了時に消えるため、転送完了の確実性設計（stopTimeout との兼ね合い）が必要</t>
        </is>
      </c>
      <c r="H9" s="5" t="inlineStr">
        <is>
          <t>★★★★☆</t>
        </is>
      </c>
      <c r="I9" s="5" t="inlineStr">
        <is>
          <t>代替</t>
        </is>
      </c>
    </row>
    <row r="10" ht="48" customHeight="1">
      <c r="A10" s="7" t="inlineStr">
        <is>
          <t>6</t>
        </is>
      </c>
      <c r="B10" s="8" t="inlineStr">
        <is>
          <t>minimumHealthyPercent=0 にして重複をなくす</t>
        </is>
      </c>
      <c r="C10" s="42" t="inlineStr">
        <is>
          <t>【根治】（別コスト）</t>
        </is>
      </c>
      <c r="D10" s="7" t="inlineStr">
        <is>
          <t>デプロイ設定</t>
        </is>
      </c>
      <c r="E10" s="8" t="inlineStr">
        <is>
          <t>A B C D E F すべて</t>
        </is>
      </c>
      <c r="F10" s="7" t="inlineStr">
        <is>
          <t>小</t>
        </is>
      </c>
      <c r="G10" s="8" t="inlineStr">
        <is>
          <t>★ダウンタイムが発生する。可用性要件を満たさないケースが多い</t>
        </is>
      </c>
      <c r="H10" s="7" t="inlineStr">
        <is>
          <t>★★☆☆☆</t>
        </is>
      </c>
      <c r="I10" s="7" t="inlineStr">
        <is>
          <t>—</t>
        </is>
      </c>
    </row>
    <row r="11" ht="48" customHeight="1">
      <c r="A11" s="5" t="inlineStr">
        <is>
          <t>7</t>
        </is>
      </c>
      <c r="B11" s="6" t="inlineStr">
        <is>
          <t>CronTriggeringPolicy で回転時刻をデプロイから離す（例 0 30 * * * ?）</t>
        </is>
      </c>
      <c r="C11" s="5" t="inlineStr">
        <is>
          <t>緩和のみ</t>
        </is>
      </c>
      <c r="D11" s="5" t="inlineStr">
        <is>
          <t>設定変更</t>
        </is>
      </c>
      <c r="E11" s="6" t="inlineStr">
        <is>
          <t>B D の確率低下</t>
        </is>
      </c>
      <c r="F11" s="5" t="inlineStr">
        <is>
          <t>小</t>
        </is>
      </c>
      <c r="G11" s="6" t="inlineStr">
        <is>
          <t>TimeBasedTriggeringPolicy では正時以外に回転できない（境界は必ず時間単位の切れ目）ため、ずらすならこれを使う。★A は残る</t>
        </is>
      </c>
      <c r="H11" s="5" t="inlineStr">
        <is>
          <t>★★☆☆☆</t>
        </is>
      </c>
      <c r="I11" s="5" t="inlineStr">
        <is>
          <t>併用可</t>
        </is>
      </c>
    </row>
    <row r="12" ht="48" customHeight="1">
      <c r="A12" s="7" t="inlineStr">
        <is>
          <t>8</t>
        </is>
      </c>
      <c r="B12" s="8" t="inlineStr">
        <is>
          <t>デプロイ時刻を 00:00 から 00:20 などへ移動</t>
        </is>
      </c>
      <c r="C12" s="7" t="inlineStr">
        <is>
          <t>緩和のみ</t>
        </is>
      </c>
      <c r="D12" s="7" t="inlineStr">
        <is>
          <t>運用変更</t>
        </is>
      </c>
      <c r="E12" s="8" t="inlineStr">
        <is>
          <t>B D の確率低下</t>
        </is>
      </c>
      <c r="F12" s="7" t="inlineStr">
        <is>
          <t>極小</t>
        </is>
      </c>
      <c r="G12" s="8" t="inlineStr">
        <is>
          <t>重複期間が毎正時をまたがなくなる。★A は残る。今日すぐできる応急処置としては有効</t>
        </is>
      </c>
      <c r="H12" s="7" t="inlineStr">
        <is>
          <t>★★★☆☆</t>
        </is>
      </c>
      <c r="I12" s="7" t="inlineStr">
        <is>
          <t>STEP0</t>
        </is>
      </c>
    </row>
    <row r="13" ht="48" customHeight="1">
      <c r="A13" s="5" t="inlineStr">
        <is>
          <t>9</t>
        </is>
      </c>
      <c r="B13" s="6" t="inlineStr">
        <is>
          <t>immediateFlush="true" ＋ bufferedIO="false"</t>
        </is>
      </c>
      <c r="C13" s="9" t="inlineStr">
        <is>
          <t>ほぼ無効</t>
        </is>
      </c>
      <c r="D13" s="5" t="inlineStr">
        <is>
          <t>設定変更</t>
        </is>
      </c>
      <c r="E13" s="6" t="inlineStr">
        <is>
          <t>なし</t>
        </is>
      </c>
      <c r="F13" s="5" t="inlineStr">
        <is>
          <t>極小</t>
        </is>
      </c>
      <c r="G13" s="6" t="inlineStr">
        <is>
          <t>行の混在はやや減るが★NFS の追記競合は消えない。I/O 回数が増えて EFS のコストとレイテンシが悪化する</t>
        </is>
      </c>
      <c r="H13" s="5" t="inlineStr">
        <is>
          <t>★☆☆☆☆</t>
        </is>
      </c>
      <c r="I13" s="5" t="inlineStr">
        <is>
          <t>—</t>
        </is>
      </c>
    </row>
    <row r="14" ht="48" customHeight="1">
      <c r="A14" s="7" t="inlineStr">
        <is>
          <t>10</t>
        </is>
      </c>
      <c r="B14" s="8" t="inlineStr">
        <is>
          <t>createOnDemand="true"</t>
        </is>
      </c>
      <c r="C14" s="9" t="inlineStr">
        <is>
          <t>★逆効果</t>
        </is>
      </c>
      <c r="D14" s="7" t="inlineStr">
        <is>
          <t>設定変更</t>
        </is>
      </c>
      <c r="E14" s="8" t="inlineStr">
        <is>
          <t>なし</t>
        </is>
      </c>
      <c r="F14" s="7" t="inlineStr">
        <is>
          <t>極小</t>
        </is>
      </c>
      <c r="G14" s="8" t="inlineStr">
        <is>
          <t>rename 後にファイルを作らないため、rename〜create の隙間がむしろ拡大する</t>
        </is>
      </c>
      <c r="H14" s="7" t="inlineStr">
        <is>
          <t>☆☆☆☆☆</t>
        </is>
      </c>
      <c r="I14" s="7" t="inlineStr">
        <is>
          <t>採用不可</t>
        </is>
      </c>
    </row>
    <row r="15" ht="48" customHeight="1">
      <c r="A15" s="5" t="inlineStr">
        <is>
          <t>11</t>
        </is>
      </c>
      <c r="B15" s="6" t="inlineStr">
        <is>
          <t>filePattern に %i を入れて DefaultRolloverStrategy の max を使う</t>
        </is>
      </c>
      <c r="C15" s="5" t="inlineStr">
        <is>
          <t>部分的</t>
        </is>
      </c>
      <c r="D15" s="5" t="inlineStr">
        <is>
          <t>設定変更</t>
        </is>
      </c>
      <c r="E15" s="6" t="inlineStr">
        <is>
          <t>D の一部</t>
        </is>
      </c>
      <c r="F15" s="5" t="inlineStr">
        <is>
          <t>小</t>
        </is>
      </c>
      <c r="G15" s="6" t="inlineStr">
        <is>
          <t>両タスクが同じ %i を計算してしまう競合が残る</t>
        </is>
      </c>
      <c r="H15" s="5" t="inlineStr">
        <is>
          <t>★☆☆☆☆</t>
        </is>
      </c>
      <c r="I15" s="5" t="inlineStr">
        <is>
          <t>—</t>
        </is>
      </c>
    </row>
    <row r="16" ht="48" customHeight="1">
      <c r="A16" s="7" t="inlineStr">
        <is>
          <t>12</t>
        </is>
      </c>
      <c r="B16" s="8" t="inlineStr">
        <is>
          <t>FileAppender の locking="true" を使う</t>
        </is>
      </c>
      <c r="C16" s="9" t="inlineStr">
        <is>
          <t>使えない</t>
        </is>
      </c>
      <c r="D16" s="7" t="inlineStr">
        <is>
          <t>設定変更</t>
        </is>
      </c>
      <c r="E16" s="8" t="inlineStr">
        <is>
          <t>—</t>
        </is>
      </c>
      <c r="F16" s="7" t="inlineStr">
        <is>
          <t>—</t>
        </is>
      </c>
      <c r="G16" s="8" t="inlineStr">
        <is>
          <t>★RollingFileAppender には locking 属性が無い。かつ NFS のロックはアドバイザリで、rename レースは解決しない</t>
        </is>
      </c>
      <c r="H16" s="7" t="inlineStr">
        <is>
          <t>☆☆☆☆☆</t>
        </is>
      </c>
      <c r="I16" s="7" t="inlineStr">
        <is>
          <t>採用不可</t>
        </is>
      </c>
    </row>
    <row r="17" ht="48" customHeight="1">
      <c r="A17" s="5" t="inlineStr">
        <is>
          <t>13</t>
        </is>
      </c>
      <c r="B17" s="6" t="inlineStr">
        <is>
          <t>SocketAppender / SyslogAppender で集約サービスへ送る</t>
        </is>
      </c>
      <c r="C17" s="42" t="inlineStr">
        <is>
          <t>【根治】</t>
        </is>
      </c>
      <c r="D17" s="5" t="inlineStr">
        <is>
          <t>アーキテクチャ</t>
        </is>
      </c>
      <c r="E17" s="6" t="inlineStr">
        <is>
          <t>A B C D E F すべて</t>
        </is>
      </c>
      <c r="F17" s="5" t="inlineStr">
        <is>
          <t>中〜大</t>
        </is>
      </c>
      <c r="G17" s="6" t="inlineStr">
        <is>
          <t>受け側の構築・冗長化が必要。接続断時のバッファ設計が課題。案1 のほうがマネージドで楽</t>
        </is>
      </c>
      <c r="H17" s="5" t="inlineStr">
        <is>
          <t>★★★☆☆</t>
        </is>
      </c>
      <c r="I17" s="5" t="inlineStr">
        <is>
          <t>代替</t>
        </is>
      </c>
    </row>
    <row r="18" ht="48" customHeight="1">
      <c r="A18" s="7" t="inlineStr">
        <is>
          <t>14</t>
        </is>
      </c>
      <c r="B18" s="8" t="inlineStr">
        <is>
          <t>AsyncAppender / AsyncLogger を使う</t>
        </is>
      </c>
      <c r="C18" s="9" t="inlineStr">
        <is>
          <t>無効</t>
        </is>
      </c>
      <c r="D18" s="7" t="inlineStr">
        <is>
          <t>設定変更</t>
        </is>
      </c>
      <c r="E18" s="8" t="inlineStr">
        <is>
          <t>なし</t>
        </is>
      </c>
      <c r="F18" s="7" t="inlineStr">
        <is>
          <t>小</t>
        </is>
      </c>
      <c r="G18" s="8" t="inlineStr">
        <is>
          <t>プロセス内の非同期化にすぎず、★プロセス間の競合には一切効かない</t>
        </is>
      </c>
      <c r="H18" s="7" t="inlineStr">
        <is>
          <t>☆☆☆☆☆</t>
        </is>
      </c>
      <c r="I18" s="7" t="inlineStr">
        <is>
          <t>—</t>
        </is>
      </c>
    </row>
    <row r="19" ht="48" customHeight="1">
      <c r="A19" s="5" t="inlineStr">
        <is>
          <t>15</t>
        </is>
      </c>
      <c r="B19" s="6" t="inlineStr">
        <is>
          <t>EFS を Provisioned Throughput / Elastic にする</t>
        </is>
      </c>
      <c r="C19" s="9" t="inlineStr">
        <is>
          <t>無効</t>
        </is>
      </c>
      <c r="D19" s="5" t="inlineStr">
        <is>
          <t>インフラ</t>
        </is>
      </c>
      <c r="E19" s="6" t="inlineStr">
        <is>
          <t>なし</t>
        </is>
      </c>
      <c r="F19" s="5" t="inlineStr">
        <is>
          <t>小</t>
        </is>
      </c>
      <c r="G19" s="6" t="inlineStr">
        <is>
          <t>rename〜create の隙間 G がわずかに縮むだけ。原理的な解決にはならない</t>
        </is>
      </c>
      <c r="H19" s="5" t="inlineStr">
        <is>
          <t>☆☆☆☆☆</t>
        </is>
      </c>
      <c r="I19" s="5" t="inlineStr">
        <is>
          <t>—</t>
        </is>
      </c>
    </row>
    <row r="20" ht="48" customHeight="1">
      <c r="A20" s="7" t="inlineStr">
        <is>
          <t>16</t>
        </is>
      </c>
      <c r="B20" s="8" t="inlineStr">
        <is>
          <t>interval="1" を明示的に書く</t>
        </is>
      </c>
      <c r="C20" s="7" t="inlineStr">
        <is>
          <t>無効（可読性向上）</t>
        </is>
      </c>
      <c r="D20" s="7" t="inlineStr">
        <is>
          <t>設定変更</t>
        </is>
      </c>
      <c r="E20" s="8" t="inlineStr">
        <is>
          <t>なし</t>
        </is>
      </c>
      <c r="F20" s="7" t="inlineStr">
        <is>
          <t>極小</t>
        </is>
      </c>
      <c r="G20" s="8" t="inlineStr">
        <is>
          <t>挙動は変わらないが、「ロール周期は %d の最小単位で決まる」という罠を設定ファイルに明示できる。再発防止として有効</t>
        </is>
      </c>
      <c r="H20" s="7" t="inlineStr">
        <is>
          <t>★★★☆☆</t>
        </is>
      </c>
      <c r="I20" s="7" t="inlineStr">
        <is>
          <t>STEP1</t>
        </is>
      </c>
    </row>
    <row r="21" ht="48" customHeight="1">
      <c r="A21" s="5" t="inlineStr">
        <is>
          <t>17</t>
        </is>
      </c>
      <c r="B21" s="6" t="inlineStr">
        <is>
          <t>ALB の deregistration_delay と stopTimeout を短縮</t>
        </is>
      </c>
      <c r="C21" s="5" t="inlineStr">
        <is>
          <t>緩和のみ</t>
        </is>
      </c>
      <c r="D21" s="5" t="inlineStr">
        <is>
          <t>インフラ</t>
        </is>
      </c>
      <c r="E21" s="6" t="inlineStr">
        <is>
          <t>重複時間の短縮</t>
        </is>
      </c>
      <c r="F21" s="5" t="inlineStr">
        <is>
          <t>小</t>
        </is>
      </c>
      <c r="G21" s="6" t="inlineStr">
        <is>
          <t>重複期間が短くなるぶん事故の窓も狭まるが、処理中リクエストの打ち切りリスクがある</t>
        </is>
      </c>
      <c r="H21" s="5" t="inlineStr">
        <is>
          <t>★★☆☆☆</t>
        </is>
      </c>
      <c r="I21" s="5" t="inlineStr">
        <is>
          <t>併用可</t>
        </is>
      </c>
    </row>
    <row r="22" ht="48" customHeight="1">
      <c r="A22" s="7" t="inlineStr">
        <is>
          <t>18</t>
        </is>
      </c>
      <c r="B22" s="8" t="inlineStr">
        <is>
          <t>監視・検知の追加（11_検証と監視 シート参照）</t>
        </is>
      </c>
      <c r="C22" s="7" t="inlineStr">
        <is>
          <t>検知のみ</t>
        </is>
      </c>
      <c r="D22" s="7" t="inlineStr">
        <is>
          <t>運用</t>
        </is>
      </c>
      <c r="E22" s="8" t="inlineStr">
        <is>
          <t>なし（検知のみ）</t>
        </is>
      </c>
      <c r="F22" s="7" t="inlineStr">
        <is>
          <t>小</t>
        </is>
      </c>
      <c r="G22" s="8" t="inlineStr">
        <is>
          <t>是正はしないため、必ず案1〜3・5 のいずれかと併用すること</t>
        </is>
      </c>
      <c r="H22" s="7" t="inlineStr">
        <is>
          <t>★★★★☆</t>
        </is>
      </c>
      <c r="I22" s="7" t="inlineStr">
        <is>
          <t>STEP2</t>
        </is>
      </c>
    </row>
    <row r="24" ht="20" customHeight="1">
      <c r="A24" s="3" t="inlineStr">
        <is>
          <t>■ 推奨の組み合わせ</t>
        </is>
      </c>
    </row>
    <row r="25" ht="150" customHeight="1">
      <c r="A25" s="11" t="inlineStr">
        <is>
          <t>【本命】  案1（stdout + FireLens/awslogs）   または   案2（DirectWrite + タスクID別パス）
            +
【併用】  案16（interval 明示）   案18（監視）
            +
【今日の応急処置】 案8（デプロイ時刻を 00:20 へ移動）
■ 案2 を強く推奨する理由
  ログ設定ファイル1箇所と entrypoint 数行の変更で、シナリオ A〜F が同時に、かつ原理的に消滅するため。
  「rename が起きない（DirectWrite）」と「同じパスを2つのプロセスが開かない（タスクID別パス）」の
  2点を同時に満たすので、Linux の FD 挙動に依存した壊れ方が入り込む余地がなくなる。</t>
        </is>
      </c>
      <c r="B25" s="12" t="n"/>
      <c r="C25" s="12" t="n"/>
      <c r="D25" s="12" t="n"/>
      <c r="E25" s="12" t="n"/>
      <c r="F25" s="12" t="n"/>
      <c r="G25" s="12" t="n"/>
      <c r="H25" s="12" t="n"/>
      <c r="I25" s="13" t="n"/>
    </row>
    <row r="27" ht="20" customHeight="1">
      <c r="A27" s="3" t="inlineStr">
        <is>
          <t>■ 判断フローチャート</t>
        </is>
      </c>
    </row>
    <row r="28" ht="340" customHeight="1">
      <c r="A28" s="11" t="inlineStr">
        <is>
          <t xml:space="preserve">                  ログを EFS に置く必要が本当にありますか？
                              |
              +---------------+---------------+
             いいえ                          はい
              |                               |
              v                               v
      【案1】stdout + FireLens        EFS 上のファイルを
       または awslogs                 「他のプロセス」も読みますか？
       ★最推奨・根治                            |
                              +----------------+----------------+
                            いいえ                             はい
                              |                                 |
                              v                                 v
                    【案5】エフェメラル          タスクIDでディレクトリを
                     ストレージ + サイドカー転送   分けても読み手は対応できますか？
                                                                |
                                                 +--------------+--------------+
                                               はい                          いいえ
                                                 |                             |
                                                 v                             v
                                    【案2】DirectWrite +          読み手側を改修する
                                     タスクID別パス                （改修できないなら案1へ）
                                     ★EFS 継続時の最推奨</t>
        </is>
      </c>
      <c r="B28" s="12" t="n"/>
      <c r="C28" s="12" t="n"/>
      <c r="D28" s="12" t="n"/>
      <c r="E28" s="12" t="n"/>
      <c r="F28" s="12" t="n"/>
      <c r="G28" s="12" t="n"/>
      <c r="H28" s="12" t="n"/>
      <c r="I28" s="13" t="n"/>
    </row>
  </sheetData>
  <mergeCells count="6">
    <mergeCell ref="A25:I25"/>
    <mergeCell ref="A2:I2"/>
    <mergeCell ref="A28:I28"/>
    <mergeCell ref="A1:I1"/>
    <mergeCell ref="A27:I27"/>
    <mergeCell ref="A24:I24"/>
  </mergeCells>
  <pageMargins left="0.75" right="0.75" top="1" bottom="1" header="0.5" footer="0.5"/>
</worksheet>
</file>

<file path=xl/worksheets/sheet9.xml><?xml version="1.0" encoding="utf-8"?>
<worksheet xmlns="http://schemas.openxmlformats.org/spreadsheetml/2006/main">
  <sheetPr>
    <tabColor rgb="0000B050"/>
    <outlinePr summaryBelow="1" summaryRight="1"/>
    <pageSetUpPr/>
  </sheetPr>
  <dimension ref="A1:B15"/>
  <sheetViews>
    <sheetView showGridLines="0" workbookViewId="0">
      <pane ySplit="2" topLeftCell="A3" activePane="bottomLeft" state="frozen"/>
      <selection pane="bottomLeft" activeCell="A1" sqref="A1"/>
    </sheetView>
  </sheetViews>
  <sheetFormatPr baseColWidth="8" defaultRowHeight="15"/>
  <cols>
    <col width="22" customWidth="1" min="1" max="1"/>
    <col width="110" customWidth="1" min="2" max="2"/>
  </cols>
  <sheetData>
    <row r="1" ht="24" customHeight="1">
      <c r="A1" s="1" t="inlineStr">
        <is>
          <t>推奨構成と設定例（そのままコピーできます）</t>
        </is>
      </c>
    </row>
    <row r="3" ht="20" customHeight="1">
      <c r="A3" s="3" t="inlineStr">
        <is>
          <t>■ 案1：stdout へ出す（もっとも推奨）</t>
        </is>
      </c>
    </row>
    <row r="4" ht="195" customHeight="1">
      <c r="A4" s="43" t="inlineStr">
        <is>
          <t>log4j2.xml</t>
        </is>
      </c>
      <c r="B4" s="11" t="inlineStr">
        <is>
          <t>&lt;?xml version="1.0" encoding="UTF-8"?&gt;
&lt;Configuration status="WARN" name="app"&gt;
  &lt;Appenders&gt;
    &lt;Console name="STDOUT" target="SYSTEM_OUT"&gt;
      &lt;!-- JsonTemplateLayout は log4j-layout-template-json が必要 --&gt;
      &lt;JsonTemplateLayout eventTemplateUri="classpath:EcsLayout.json"/&gt;
    &lt;/Console&gt;
  &lt;/Appenders&gt;
  &lt;Loggers&gt;
    &lt;Root level="info"&gt;
      &lt;AppenderRef ref="STDOUT"/&gt;
    &lt;/Root&gt;
  &lt;/Loggers&gt;
&lt;/Configuration&gt;</t>
        </is>
      </c>
    </row>
    <row r="5" ht="150" customHeight="1">
      <c r="A5" s="43" t="inlineStr">
        <is>
          <t>ECS タスク定義</t>
        </is>
      </c>
      <c r="B5" s="11" t="inlineStr">
        <is>
          <t>{
  "logConfiguration": {
    "logDriver": "awslogs",
    "options": {
      "awslogs-group": "/ecs/my-app",
      "awslogs-region": "ap-northeast-1",
      "awslogs-stream-prefix": "app"
    }
  }
}</t>
        </is>
      </c>
    </row>
    <row r="6">
      <c r="A6" s="2" t="inlineStr">
        <is>
          <t>ファイルも FD もローテーションも存在しなくなるため、シナリオ A〜F がすべて消えます。ログストリームはタスクごとに自動で分離されます。</t>
        </is>
      </c>
    </row>
    <row r="8" ht="20" customHeight="1">
      <c r="A8" s="3" t="inlineStr">
        <is>
          <t>■ 案2：EFS を使い続ける場合の最小変更（DirectWrite ＋ タスクID別パス）</t>
        </is>
      </c>
    </row>
    <row r="9" ht="570" customHeight="1">
      <c r="A9" s="43" t="inlineStr">
        <is>
          <t>log4j2.xml</t>
        </is>
      </c>
      <c r="B9" s="11" t="inlineStr">
        <is>
          <t>&lt;?xml version="1.0" encoding="UTF-8"?&gt;
&lt;Configuration status="WARN" name="app"&gt;
  &lt;Properties&gt;
    &lt;!-- entrypoint.sh で export したタスク固有ID。未設定なら unknown --&gt;
    &lt;Property name="TASK_ID"&gt;${env:ECS_TASK_ID:-unknown}&lt;/Property&gt;
    &lt;Property name="LOG_DIR"&gt;/mnt/efs/logs/${TASK_ID}&lt;/Property&gt;
  &lt;/Properties&gt;
  &lt;Appenders&gt;
    &lt;!-- ★ fileName を「書かない」ことが最重要。
         -&gt; DirectWriteRolloverStrategy が選択され、rename が一切発生しない。
         ★ パスに TASK_ID を含めることで、2タスクが同一ファイルを開かない。 --&gt;
    &lt;RollingFile name="TRACE"
                 filePattern="${LOG_DIR}/trace-%d{yyyy-MM-dd-HH}.log"
                 append="true"
                 immediateFlush="true"
                 bufferedIO="false"&gt;
      &lt;PatternLayout pattern="%d{ISO8601} [%t] %-5level %logger{36} - %msg%n"/&gt;
      &lt;Policies&gt;
        &lt;!-- interval は既定値と同じ 1 だが、意図を明示するため必ず書く。
             ロール周期は filePattern の %d の最小単位（ここでは HH）で決まる。
               %d{yyyy-MM-dd}    -&gt; 日次
               %d{yyyy-MM-dd-HH} -&gt; 毎正時（＝現状） --&gt;
        &lt;TimeBasedTriggeringPolicy interval="1" modulate="true"/&gt;
      &lt;/Policies&gt;
      &lt;!-- DirectWrite では max ではなく Delete で世代管理する --&gt;
      &lt;DirectWriteRolloverStrategy&gt;
        &lt;Delete basePath="${LOG_DIR}" maxDepth="1"&gt;
          &lt;IfFileName glob="trace-*.log"/&gt;
          &lt;IfLastModified age="P7D"/&gt;
        &lt;/Delete&gt;
      &lt;/DirectWriteRolloverStrategy&gt;
    &lt;/RollingFile&gt;
  &lt;/Appenders&gt;
  &lt;Loggers&gt;
    &lt;Root level="info"&gt;
      &lt;AppenderRef ref="TRACE"/&gt;
    &lt;/Root&gt;
  &lt;/Loggers&gt;
&lt;/Configuration&gt;</t>
        </is>
      </c>
    </row>
    <row r="10" ht="275" customHeight="1">
      <c r="A10" s="43" t="inlineStr">
        <is>
          <t>entrypoint.sh</t>
        </is>
      </c>
      <c r="B10" s="11" t="inlineStr">
        <is>
          <t>#!/bin/sh
set -eu
# ECS タスクメタデータエンドポイント v4 から TaskARN を取得し、末尾のタスクIDを使う。
# jq が無いイメージでも動くよう sed で抽出している。
if [ -n "${ECS_CONTAINER_METADATA_URI_V4:-}" ]; then
  TASK_ARN=$(curl -sf --max-time 3 "${ECS_CONTAINER_METADATA_URI_V4}/task" \
             | sed -n 's/.*"TaskARN"[[:space:]]*:[[:space:]]*"\([^"]*\)".*/\1/p') || true
  if [ -n "${TASK_ARN:-}" ]; then
    ECS_TASK_ID="${TASK_ARN##*/}"
  fi
fi
# フォールバック（ローカル実行・メタデータ取得失敗時）
: "${ECS_TASK_ID:=$(hostname)-$$}"
export ECS_TASK_ID
mkdir -p "/mnt/efs/logs/${ECS_TASK_ID}"
exec java -jar /app/app.jar</t>
        </is>
      </c>
    </row>
    <row r="11" ht="105" customHeight="1">
      <c r="A11" s="43" t="inlineStr">
        <is>
          <t>なぜ全部
解決するか</t>
        </is>
      </c>
      <c r="B11" s="44" t="inlineStr">
        <is>
          <t>A（同時追記）        : パスがタスクごとに違うので、そもそも同じ inode を開かない
B（回転前inode掴み） : rename が発生しない（DirectWrite）。かつパスも共有していない
C（rename〜createの隙間）: rename も create-after-rename も発生しない
D（rename 衝突）     : rename が発生しない
E（gz と FD の競合） : 他プロセスが同じ inode を持たない
F（古い名前での回転）: 回転名が他タスクと衝突しない</t>
        </is>
      </c>
    </row>
    <row r="12" ht="90" customHeight="1">
      <c r="A12" s="43" t="inlineStr">
        <is>
          <t>注意点</t>
        </is>
      </c>
      <c r="B12" s="10" t="inlineStr">
        <is>
          <t>・ファイル数が増えます。Delete アクションでの世代管理と、EFS のディレクトリあたりのエントリ数を意識してください。
  ディレクトリを日付で切る（/mnt/efs/logs/2026-09-18/&lt;task-id&gt;/）と運用しやすくなります。
・ログ収集側（EFS 直読みバッチ、Fluentd 等）の改修が必要です。glob を trace-*.log から */trace-*.log へ。
・${env:ECS_TASK_ID:-unknown} のデフォルト値構文のサポート状況はバージョンにより異なる場合があります（要確認）。
・ECS の HOSTNAME 環境変数の値は起動タイプにより異なるため、タスクメタデータエンドポイント経由での取得を推奨しています。</t>
        </is>
      </c>
    </row>
    <row r="14" ht="20" customHeight="1">
      <c r="A14" s="3" t="inlineStr">
        <is>
          <t>■ 案8：応急処置としてデプロイ時刻をずらす／回転時刻をずらす</t>
        </is>
      </c>
    </row>
    <row r="15" ht="165" customHeight="1">
      <c r="A15" s="43" t="inlineStr">
        <is>
          <t>log4j2.xml
（一部）</t>
        </is>
      </c>
      <c r="B15" s="11" t="inlineStr">
        <is>
          <t>デプロイ実行時刻: 00:00 -&gt; 00:20 へ移動する（重複期間が毎正時をまたがなくなる）
ロール周期そのものを正時からずらしたい場合、TimeBasedTriggeringPolicy では不可能
（境界は必ず時間単位の切れ目になる）ため、CronTriggeringPolicy を使う:
&lt;Policies&gt;
  &lt;!-- 毎時30分に回転させる（Quartz 形式: 秒 分 時 日 月 曜日） --&gt;
  &lt;CronTriggeringPolicy schedule="0 30 * * * ?"/&gt;
&lt;/Policies&gt;
★ いずれもシナリオA（2タスク同時追記）は消えません。本対策までのつなぎです。</t>
        </is>
      </c>
    </row>
  </sheetData>
  <mergeCells count="5">
    <mergeCell ref="A14:B14"/>
    <mergeCell ref="A1:B1"/>
    <mergeCell ref="A8:B8"/>
    <mergeCell ref="A3:B3"/>
    <mergeCell ref="A6:B6"/>
  </mergeCells>
  <pageMargins left="0.75" right="0.75" top="1" bottom="1" header="0.5" footer="0.5"/>
</worksheet>
</file>

<file path=xl/worksheets/sheet10.xml><?xml version="1.0" encoding="utf-8"?>
<worksheet xmlns="http://schemas.openxmlformats.org/spreadsheetml/2006/main">
  <sheetPr>
    <tabColor rgb="00808080"/>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10" customWidth="1" min="1" max="1"/>
    <col width="14" customWidth="1" min="2" max="2"/>
    <col width="34" customWidth="1" min="3" max="3"/>
    <col width="50" customWidth="1" min="4" max="4"/>
    <col width="44" customWidth="1" min="5" max="5"/>
  </cols>
  <sheetData>
    <row r="1" ht="24" customHeight="1">
      <c r="A1" s="1" t="inlineStr">
        <is>
          <t>歴史と背景 — なぜこの問題が生まれたのか</t>
        </is>
      </c>
    </row>
    <row r="2">
      <c r="A2" s="2" t="inlineStr">
        <is>
          <t>今回の事象は「50年前の UNIX の設計」「40年前の NFS の妥協」「30年前のログローテーションの作法」「10年前のコンテナのデプロイ戦略」が、1つの trace.log の上で衝突している構図です。</t>
        </is>
      </c>
    </row>
    <row r="4" ht="30" customHeight="1">
      <c r="A4" s="4" t="inlineStr">
        <is>
          <t>#</t>
        </is>
      </c>
      <c r="B4" s="4" t="inlineStr">
        <is>
          <t>年</t>
        </is>
      </c>
      <c r="C4" s="4" t="inlineStr">
        <is>
          <t>出来事</t>
        </is>
      </c>
      <c r="D4" s="4" t="inlineStr">
        <is>
          <t>内容</t>
        </is>
      </c>
      <c r="E4" s="4" t="inlineStr">
        <is>
          <t>今回の問題との関係</t>
        </is>
      </c>
    </row>
    <row r="5" ht="62" customHeight="1">
      <c r="A5" s="5" t="inlineStr">
        <is>
          <t>1</t>
        </is>
      </c>
      <c r="B5" s="5" t="inlineStr">
        <is>
          <t>1970年代</t>
        </is>
      </c>
      <c r="C5" s="6" t="inlineStr">
        <is>
          <t>UNIX が「名前」と「実体」を分離</t>
        </is>
      </c>
      <c r="D5" s="6" t="inlineStr">
        <is>
          <t>Ken Thompson と Dennis Ritchie が、inode（実体）とディレクトリエントリ（名前→inode番号）を完全に分離。open() が返す FD は名前ではなく「実体への権限（ケーパビリティ）」になった</t>
        </is>
      </c>
      <c r="E5" s="6" t="inlineStr">
        <is>
          <t>★これが「FD が rename に気づかない」の直接の原因。悪い設計ではなく、むしろ rename によるアトミックなファイル差し替えを可能にしている</t>
        </is>
      </c>
    </row>
    <row r="6" ht="62" customHeight="1">
      <c r="A6" s="7" t="inlineStr">
        <is>
          <t>2</t>
        </is>
      </c>
      <c r="B6" s="7" t="inlineStr">
        <is>
          <t>1980年代後半</t>
        </is>
      </c>
      <c r="C6" s="8" t="inlineStr">
        <is>
          <t>newsyslog（BSD）</t>
        </is>
      </c>
      <c r="D6" s="8" t="inlineStr">
        <is>
          <t>USENET ニュースサーバのログ肥大化対策として生まれたとされる、最初期のログローテーションツール</t>
        </is>
      </c>
      <c r="E6" s="8" t="inlineStr">
        <is>
          <t>rename + プロセスへの再オープン指示、という基本形がここで固まった</t>
        </is>
      </c>
    </row>
    <row r="7" ht="62" customHeight="1">
      <c r="A7" s="5" t="inlineStr">
        <is>
          <t>3</t>
        </is>
      </c>
      <c r="B7" s="5" t="inlineStr">
        <is>
          <t>1984年</t>
        </is>
      </c>
      <c r="C7" s="6" t="inlineStr">
        <is>
          <t>NFS（Sun Microsystems）公開</t>
        </is>
      </c>
      <c r="D7" s="6" t="inlineStr">
        <is>
          <t>サーバがクライアントの状態を持たない「ステートレス」設計を採用。サーバ再起動でクライアントが壊れないという堅牢性を得た</t>
        </is>
      </c>
      <c r="E7" s="6" t="inlineStr">
        <is>
          <t>★代償として (1) サーバ側の open 状態、(2)「末尾に追記」という手続き、(3) 強い一貫性、を失った</t>
        </is>
      </c>
    </row>
    <row r="8" ht="62" customHeight="1">
      <c r="A8" s="7" t="inlineStr">
        <is>
          <t>4</t>
        </is>
      </c>
      <c r="B8" s="7" t="inlineStr">
        <is>
          <t>1989年</t>
        </is>
      </c>
      <c r="C8" s="8" t="inlineStr">
        <is>
          <t>NFSv2 標準化（RFC 1094）</t>
        </is>
      </c>
      <c r="D8" s="8" t="inlineStr">
        <is>
          <t>Sun の実装が RFC として公開される</t>
        </is>
      </c>
      <c r="E8" s="8" t="inlineStr">
        <is>
          <t>silly rename（.nfs* への改名）がクライアント側の延命策として定着</t>
        </is>
      </c>
    </row>
    <row r="9" ht="62" customHeight="1">
      <c r="A9" s="5" t="inlineStr">
        <is>
          <t>5</t>
        </is>
      </c>
      <c r="B9" s="5" t="inlineStr">
        <is>
          <t>1995年</t>
        </is>
      </c>
      <c r="C9" s="6" t="inlineStr">
        <is>
          <t>NFSv3（RFC 1813）</t>
        </is>
      </c>
      <c r="D9" s="6" t="inlineStr">
        <is>
          <t>64bit ファイルサイズ、非同期書き込みなどを追加</t>
        </is>
      </c>
      <c r="E9" s="6" t="inlineStr">
        <is>
          <t>追記の原子性は依然として提供されない</t>
        </is>
      </c>
    </row>
    <row r="10" ht="62" customHeight="1">
      <c r="A10" s="7" t="inlineStr">
        <is>
          <t>6</t>
        </is>
      </c>
      <c r="B10" s="7" t="inlineStr">
        <is>
          <t>1996年頃</t>
        </is>
      </c>
      <c r="C10" s="8" t="inlineStr">
        <is>
          <t>logrotate（Erik Troan / Red Hat）</t>
        </is>
      </c>
      <c r="D10" s="8" t="inlineStr">
        <is>
          <t>mv → kill -HUP → アプリが開き直す、という3ステップが標準になる。copytruncate オプションは HUP を送れない場合の妥協策で、コピーと truncate の間のデータが失われる</t>
        </is>
      </c>
      <c r="E10" s="8" t="inlineStr">
        <is>
          <t>★ステップ2（HUP）が必須なのは、まさに「FD は rename に気づかない」から。今回の構成にはこのステップに相当するものが存在しない</t>
        </is>
      </c>
    </row>
    <row r="11" ht="62" customHeight="1">
      <c r="A11" s="5" t="inlineStr">
        <is>
          <t>7</t>
        </is>
      </c>
      <c r="B11" s="5" t="inlineStr">
        <is>
          <t>2000-2003年</t>
        </is>
      </c>
      <c r="C11" s="6" t="inlineStr">
        <is>
          <t>NFSv4（RFC 3010 / RFC 3530）</t>
        </is>
      </c>
      <c r="D11" s="6" t="inlineStr">
        <is>
          <t>サーバ側に状態（OPEN、ロック、デリゲーション）が戻ってくる</t>
        </is>
      </c>
      <c r="E11" s="6" t="inlineStr">
        <is>
          <t>それでも「アトミックな追記」は提供されない</t>
        </is>
      </c>
    </row>
    <row r="12" ht="62" customHeight="1">
      <c r="A12" s="7" t="inlineStr">
        <is>
          <t>8</t>
        </is>
      </c>
      <c r="B12" s="7" t="inlineStr">
        <is>
          <t>2001年頃</t>
        </is>
      </c>
      <c r="C12" s="8" t="inlineStr">
        <is>
          <t>Log4j 1.x DailyRollingFileAppender</t>
        </is>
      </c>
      <c r="D12" s="8" t="inlineStr">
        <is>
          <t>同期の不備とロールオーバの信頼性の低さで有名。javadoc 自体に「同期の問題がありデータ損失の可能性がある」旨が記され、最終的に非推奨に</t>
        </is>
      </c>
      <c r="E12" s="8" t="inlineStr">
        <is>
          <t>「ログローテーションは難しい」という認識が Java 界隈に定着した出発点</t>
        </is>
      </c>
    </row>
    <row r="13" ht="62" customHeight="1">
      <c r="A13" s="5" t="inlineStr">
        <is>
          <t>9</t>
        </is>
      </c>
      <c r="B13" s="5" t="inlineStr">
        <is>
          <t>2010年</t>
        </is>
      </c>
      <c r="C13" s="6" t="inlineStr">
        <is>
          <t>NFSv4.1（RFC 5661）</t>
        </is>
      </c>
      <c r="D13" s="6" t="inlineStr">
        <is>
          <t>pNFS、セッション、より強いエラー回復</t>
        </is>
      </c>
      <c r="E13" s="6" t="inlineStr">
        <is>
          <t>★EFS が採用しているバージョン</t>
        </is>
      </c>
    </row>
    <row r="14" ht="62" customHeight="1">
      <c r="A14" s="7" t="inlineStr">
        <is>
          <t>10</t>
        </is>
      </c>
      <c r="B14" s="7" t="inlineStr">
        <is>
          <t>2011年</t>
        </is>
      </c>
      <c r="C14" s="8" t="inlineStr">
        <is>
          <t>The Twelve-Factor App 第XI条（Adam Wiggins / Heroku）</t>
        </is>
      </c>
      <c r="D14" s="8" t="inlineStr">
        <is>
          <t>「A twelve-factor app never concerns itself with routing or storage of its output stream. It should not attempt to write to or manage logfiles. Instead, each running process writes its event stream, unbuffered, to stdout.」</t>
        </is>
      </c>
      <c r="E14" s="8" t="inlineStr">
        <is>
          <t>★まさに今回のような問題を避けるために書かれた原則。「プロセスが複数あり、いつ増えていつ消えるか分からない環境では、ファイルの所有者を1つに決められない」という現実への回答</t>
        </is>
      </c>
    </row>
    <row r="15" ht="62" customHeight="1">
      <c r="A15" s="5" t="inlineStr">
        <is>
          <t>11</t>
        </is>
      </c>
      <c r="B15" s="5" t="inlineStr">
        <is>
          <t>2014年6月</t>
        </is>
      </c>
      <c r="C15" s="6" t="inlineStr">
        <is>
          <t>Docker 1.0</t>
        </is>
      </c>
      <c r="D15" s="6" t="inlineStr">
        <is>
          <t>コンテナが実用段階へ</t>
        </is>
      </c>
      <c r="E15" s="6" t="inlineStr">
        <is>
          <t>「同じイメージの同じプロセスが複数走る」が当たり前になる</t>
        </is>
      </c>
    </row>
    <row r="16" ht="62" customHeight="1">
      <c r="A16" s="7" t="inlineStr">
        <is>
          <t>12</t>
        </is>
      </c>
      <c r="B16" s="7" t="inlineStr">
        <is>
          <t>2014年7月</t>
        </is>
      </c>
      <c r="C16" s="8" t="inlineStr">
        <is>
          <t>Log4j 2.0 GA</t>
        </is>
      </c>
      <c r="D16" s="8" t="inlineStr">
        <is>
          <t>RollingFileAppender を「トリガポリシー（いつ回すか）」と「ロールオーバ戦略（どう回すか）」に分離。プロセス内のスレッド安全性を大きく改善</t>
        </is>
      </c>
      <c r="E16" s="8" t="inlineStr">
        <is>
          <t>★しかしプロセス間（複数JVM）の安全性は当時も今も提供されていない。公式は SocketAppender 等での集約を推奨している（正確な文言はバージョン差あり／要確認）</t>
        </is>
      </c>
    </row>
    <row r="17" ht="62" customHeight="1">
      <c r="A17" s="5" t="inlineStr">
        <is>
          <t>13</t>
        </is>
      </c>
      <c r="B17" s="5" t="inlineStr">
        <is>
          <t>2015年</t>
        </is>
      </c>
      <c r="C17" s="6" t="inlineStr">
        <is>
          <t>Amazon ECS GA</t>
        </is>
      </c>
      <c r="D17" s="6" t="inlineStr">
        <is>
          <t>AWS のマネージドコンテナオーケストレーション</t>
        </is>
      </c>
      <c r="E17" s="6" t="inlineStr">
        <is>
          <t>ローリングアップデートが標準的なデプロイ手法に</t>
        </is>
      </c>
    </row>
    <row r="18" ht="62" customHeight="1">
      <c r="A18" s="7" t="inlineStr">
        <is>
          <t>14</t>
        </is>
      </c>
      <c r="B18" s="7" t="inlineStr">
        <is>
          <t>2016年6月</t>
        </is>
      </c>
      <c r="C18" s="8" t="inlineStr">
        <is>
          <t>Amazon EFS GA</t>
        </is>
      </c>
      <c r="D18" s="8" t="inlineStr">
        <is>
          <t>NFSv4.1 のマネージドサービス。コンテナから POSIX 共有ファイルシステムを数クリックでマウントできるようになった</t>
        </is>
      </c>
      <c r="E18" s="8" t="inlineStr">
        <is>
          <t>★1985年から知られていた NFS の落とし穴を、2016年以降の何千というチームが再発見することになった</t>
        </is>
      </c>
    </row>
    <row r="19" ht="62" customHeight="1">
      <c r="A19" s="5" t="inlineStr">
        <is>
          <t>15</t>
        </is>
      </c>
      <c r="B19" s="5" t="inlineStr">
        <is>
          <t>2017年</t>
        </is>
      </c>
      <c r="C19" s="6" t="inlineStr">
        <is>
          <t>AWS Fargate</t>
        </is>
      </c>
      <c r="D19" s="6" t="inlineStr">
        <is>
          <t>サーバレスコンテナ。ホストが見えなくなる</t>
        </is>
      </c>
      <c r="E19" s="6" t="inlineStr">
        <is>
          <t>「どのホストで動いているか」が不定になり、NFS クライアントの境界も不定になる</t>
        </is>
      </c>
    </row>
    <row r="20" ht="62" customHeight="1">
      <c r="A20" s="7" t="inlineStr">
        <is>
          <t>16</t>
        </is>
      </c>
      <c r="B20" s="7" t="inlineStr">
        <is>
          <t>2021年12月</t>
        </is>
      </c>
      <c r="C20" s="8" t="inlineStr">
        <is>
          <t>CVE-2021-44228（Log4Shell）</t>
        </is>
      </c>
      <c r="D20" s="8" t="inlineStr">
        <is>
          <t>緊急対応で多くの現場が Log4j 2.17 系以降へ一斉にアップグレード</t>
        </is>
      </c>
      <c r="E20" s="8" t="inlineStr">
        <is>
          <t>★このとき「ログ設定を見直した現場」と「バージョンだけ上げた現場」に分かれた。後者では 2014年当時の設計（EFS 共有ファイルへの書き込み）がそのまま残った。今回の構成はその系譜にあることが多い</t>
        </is>
      </c>
    </row>
    <row r="21" ht="62" customHeight="1">
      <c r="A21" s="5" t="inlineStr">
        <is>
          <t>17</t>
        </is>
      </c>
      <c r="B21" s="5" t="inlineStr">
        <is>
          <t>—</t>
        </is>
      </c>
      <c r="C21" s="6" t="inlineStr">
        <is>
          <t>ECS ローリングアップデート（max 200%）</t>
        </is>
      </c>
      <c r="D21" s="6" t="inlineStr">
        <is>
          <t>ゼロダウンタイムデプロイを実現する代わりに、「旧タスクと新タスクが必ず同時に走る時間帯が存在する」ことを受け入れる</t>
        </is>
      </c>
      <c r="E21" s="6" t="inlineStr">
        <is>
          <t>★「1つのファイルには1つの書き手」という暗黙の前提が、この瞬間に構造的に破綻する。最後のピース</t>
        </is>
      </c>
    </row>
    <row r="23">
      <c r="A23" s="2" t="inlineStr">
        <is>
          <t>※ 年代・人名は一般に流通している情報に基づく概略です。正確な年月日や経緯は一次資料（RFC、各プロジェクトの CHANGELOG 等）でご確認ください（要確認）。</t>
        </is>
      </c>
    </row>
  </sheetData>
  <mergeCells count="3">
    <mergeCell ref="A2:E2"/>
    <mergeCell ref="A1:E1"/>
    <mergeCell ref="A23:E23"/>
  </mergeCells>
  <pageMargins left="0.75" right="0.75" top="1" bottom="1" header="0.5" footer="0.5"/>
</worksheet>
</file>

<file path=xl/worksheets/sheet11.xml><?xml version="1.0" encoding="utf-8"?>
<worksheet xmlns="http://schemas.openxmlformats.org/spreadsheetml/2006/main">
  <sheetPr>
    <tabColor rgb="007F7F7F"/>
    <outlinePr summaryBelow="1" summaryRight="1"/>
    <pageSetUpPr/>
  </sheetPr>
  <dimension ref="A1:D24"/>
  <sheetViews>
    <sheetView showGridLines="0" workbookViewId="0">
      <pane ySplit="4" topLeftCell="A5" activePane="bottomLeft" state="frozen"/>
      <selection pane="bottomLeft" activeCell="A1" sqref="A1"/>
    </sheetView>
  </sheetViews>
  <sheetFormatPr baseColWidth="8" defaultRowHeight="15"/>
  <cols>
    <col width="6" customWidth="1" min="1" max="1"/>
    <col width="26" customWidth="1" min="2" max="2"/>
    <col width="56" customWidth="1" min="3" max="3"/>
    <col width="44" customWidth="1" min="4" max="4"/>
  </cols>
  <sheetData>
    <row r="1" ht="24" customHeight="1">
      <c r="A1" s="1" t="inlineStr">
        <is>
          <t>用語集（小学生向けのたとえつき）</t>
        </is>
      </c>
    </row>
    <row r="2">
      <c r="A2" s="2" t="inlineStr">
        <is>
          <t>たとえ話の全体像：学校の共同倉庫に、みんなで使う大きなノートが置いてある。ノートそのもの＝inode、名前シール＝ファイル名、「使ってます」の整理券＝FD。一番大事なルールは『整理券は名前シールではなくノートそのものに結びついている』こと。だから誰かが名前シールを貼り替えても、整理券を持っている人は何も気づかずに同じノートに書き続ける。</t>
        </is>
      </c>
    </row>
    <row r="4" ht="30" customHeight="1">
      <c r="A4" s="4" t="inlineStr">
        <is>
          <t>#</t>
        </is>
      </c>
      <c r="B4" s="4" t="inlineStr">
        <is>
          <t>用語</t>
        </is>
      </c>
      <c r="C4" s="4" t="inlineStr">
        <is>
          <t>正確な意味</t>
        </is>
      </c>
      <c r="D4" s="4" t="inlineStr">
        <is>
          <t>たとえ（小学生向け）</t>
        </is>
      </c>
    </row>
    <row r="5" ht="34" customHeight="1">
      <c r="A5" s="5" t="inlineStr">
        <is>
          <t>1</t>
        </is>
      </c>
      <c r="B5" s="6" t="inlineStr">
        <is>
          <t>inode（アイノード）</t>
        </is>
      </c>
      <c r="C5" s="6" t="inlineStr">
        <is>
          <t>ファイルの実体。中身・サイズ・リンク数・更新時刻を持つ。★ファイル名は持たない</t>
        </is>
      </c>
      <c r="D5" s="6" t="inlineStr">
        <is>
          <t>ノートそのもの（紙の束）</t>
        </is>
      </c>
    </row>
    <row r="6" ht="34" customHeight="1">
      <c r="A6" s="7" t="inlineStr">
        <is>
          <t>2</t>
        </is>
      </c>
      <c r="B6" s="8" t="inlineStr">
        <is>
          <t>ファイル名 / ディレクトリエントリ</t>
        </is>
      </c>
      <c r="C6" s="8" t="inlineStr">
        <is>
          <t>「この名前は inode 番号◯◯です」という対応表の1行</t>
        </is>
      </c>
      <c r="D6" s="8" t="inlineStr">
        <is>
          <t>ノートに貼った名前シール</t>
        </is>
      </c>
    </row>
    <row r="7" ht="34" customHeight="1">
      <c r="A7" s="5" t="inlineStr">
        <is>
          <t>3</t>
        </is>
      </c>
      <c r="B7" s="6" t="inlineStr">
        <is>
          <t>FD（ファイルディスクリプタ）</t>
        </is>
      </c>
      <c r="C7" s="6" t="inlineStr">
        <is>
          <t>プロセスが「このファイルを使っています」と示す整数。★名前ではなく inode に結びつく</t>
        </is>
      </c>
      <c r="D7" s="6" t="inlineStr">
        <is>
          <t>「このノート使ってます」の整理券</t>
        </is>
      </c>
    </row>
    <row r="8" ht="34" customHeight="1">
      <c r="A8" s="7" t="inlineStr">
        <is>
          <t>4</t>
        </is>
      </c>
      <c r="B8" s="8" t="inlineStr">
        <is>
          <t>オープンファイル記述</t>
        </is>
      </c>
      <c r="C8" s="8" t="inlineStr">
        <is>
          <t>open() 1回ごとに作られる構造体。現在のオフセットと O_APPEND などのフラグを持つ</t>
        </is>
      </c>
      <c r="D8" s="8" t="inlineStr">
        <is>
          <t>受付カード（今どこまで書いたかのしおり）</t>
        </is>
      </c>
    </row>
    <row r="9" ht="34" customHeight="1">
      <c r="A9" s="5" t="inlineStr">
        <is>
          <t>5</t>
        </is>
      </c>
      <c r="B9" s="6" t="inlineStr">
        <is>
          <t>open()</t>
        </is>
      </c>
      <c r="C9" s="6" t="inlineStr">
        <is>
          <t>名前から inode を探して FD を作る</t>
        </is>
      </c>
      <c r="D9" s="6" t="inlineStr">
        <is>
          <t>名前シールを見てノートを探し、整理券をもらう</t>
        </is>
      </c>
    </row>
    <row r="10" ht="34" customHeight="1">
      <c r="A10" s="7" t="inlineStr">
        <is>
          <t>6</t>
        </is>
      </c>
      <c r="B10" s="8" t="inlineStr">
        <is>
          <t>rename()</t>
        </is>
      </c>
      <c r="C10" s="8" t="inlineStr">
        <is>
          <t>名前シールを貼り替えるだけ。★inode は一切動かず、開いている FD にも通知は来ない</t>
        </is>
      </c>
      <c r="D10" s="8" t="inlineStr">
        <is>
          <t>シールの貼り替え。ノートは同じ</t>
        </is>
      </c>
    </row>
    <row r="11" ht="34" customHeight="1">
      <c r="A11" s="5" t="inlineStr">
        <is>
          <t>7</t>
        </is>
      </c>
      <c r="B11" s="6" t="inlineStr">
        <is>
          <t>unlink()（削除）</t>
        </is>
      </c>
      <c r="C11" s="6" t="inlineStr">
        <is>
          <t>名前を消す。誰も FD を持っていなければ実体も消える。持っている人がいれば最後の1人が閉じるまで生き続ける</t>
        </is>
      </c>
      <c r="D11" s="6" t="inlineStr">
        <is>
          <t>シールを剥がす。使っている人がいれば捨てない</t>
        </is>
      </c>
    </row>
    <row r="12" ht="34" customHeight="1">
      <c r="A12" s="7" t="inlineStr">
        <is>
          <t>8</t>
        </is>
      </c>
      <c r="B12" s="8" t="inlineStr">
        <is>
          <t>O_APPEND</t>
        </is>
      </c>
      <c r="C12" s="8" t="inlineStr">
        <is>
          <t>「いつも末尾に書く」というフラグ。★ローカルFSでは原子的、NFS では原子的でない</t>
        </is>
      </c>
      <c r="D12" s="8" t="inlineStr">
        <is>
          <t>「必ず最後のページに書いてね」というお願い</t>
        </is>
      </c>
    </row>
    <row r="13" ht="34" customHeight="1">
      <c r="A13" s="5" t="inlineStr">
        <is>
          <t>9</t>
        </is>
      </c>
      <c r="B13" s="6" t="inlineStr">
        <is>
          <t>silly rename（.nfs*）</t>
        </is>
      </c>
      <c r="C13" s="6" t="inlineStr">
        <is>
          <t>NFS で「使用中のファイルを削除」しようとしたとき、.nfs0000... という隠しファイルに改名して延命する仕組み</t>
        </is>
      </c>
      <c r="D13" s="6" t="inlineStr">
        <is>
          <t>捨てようとしたノートを、使い終わるまで倉庫の隅に隠しておく</t>
        </is>
      </c>
    </row>
    <row r="14" ht="34" customHeight="1">
      <c r="A14" s="7" t="inlineStr">
        <is>
          <t>10</t>
        </is>
      </c>
      <c r="B14" s="8" t="inlineStr">
        <is>
          <t>close-to-open 一貫性</t>
        </is>
      </c>
      <c r="C14" s="8" t="inlineStr">
        <is>
          <t>書き手が close() したものを読み手が open() したときにはじめて最新が見える。開きっぱなしでは他クライアントの書き込みが見えない</t>
        </is>
      </c>
      <c r="D14" s="8" t="inlineStr">
        <is>
          <t>ノートを閉じて開き直さないと、他の人が書いた分が見えない</t>
        </is>
      </c>
    </row>
    <row r="15" ht="34" customHeight="1">
      <c r="A15" s="5" t="inlineStr">
        <is>
          <t>11</t>
        </is>
      </c>
      <c r="B15" s="6" t="inlineStr">
        <is>
          <t>ESTALE（NFS4ERR_STALE）</t>
        </is>
      </c>
      <c r="C15" s="6" t="inlineStr">
        <is>
          <t>参照していたファイルハンドルがサーバ側にもう無い、というエラー</t>
        </is>
      </c>
      <c r="D15" s="6" t="inlineStr">
        <is>
          <t>整理券を出したのに「そのノートはもうありません」と言われる</t>
        </is>
      </c>
    </row>
    <row r="16" ht="34" customHeight="1">
      <c r="A16" s="7" t="inlineStr">
        <is>
          <t>12</t>
        </is>
      </c>
      <c r="B16" s="8" t="inlineStr">
        <is>
          <t>ロールオーバ</t>
        </is>
      </c>
      <c r="C16" s="8" t="inlineStr">
        <is>
          <t>ログファイルを区切って新しいファイルに切り替えること</t>
        </is>
      </c>
      <c r="D16" s="8" t="inlineStr">
        <is>
          <t>ノートを1冊書き終えて次の冊に移ること</t>
        </is>
      </c>
    </row>
    <row r="17" ht="34" customHeight="1">
      <c r="A17" s="5" t="inlineStr">
        <is>
          <t>13</t>
        </is>
      </c>
      <c r="B17" s="6" t="inlineStr">
        <is>
          <t>TimeBasedTriggeringPolicy</t>
        </is>
      </c>
      <c r="C17" s="6" t="inlineStr">
        <is>
          <t>時刻でロールオーバを起こす Log4j2 のポリシー。★周期は filePattern の %d の最小単位で決まる</t>
        </is>
      </c>
      <c r="D17" s="6" t="inlineStr">
        <is>
          <t>「毎時0分になったらノートを替えよう」という約束</t>
        </is>
      </c>
    </row>
    <row r="18" ht="34" customHeight="1">
      <c r="A18" s="7" t="inlineStr">
        <is>
          <t>14</t>
        </is>
      </c>
      <c r="B18" s="8" t="inlineStr">
        <is>
          <t>DirectWriteRolloverStrategy</t>
        </is>
      </c>
      <c r="C18" s="8" t="inlineStr">
        <is>
          <t>fileName を書かず、filePattern のファイルに直接書く方式。★rename が一切起きない</t>
        </is>
      </c>
      <c r="D18" s="8" t="inlineStr">
        <is>
          <t>最初から「23時のノート」に直接書く。貼り替え不要</t>
        </is>
      </c>
    </row>
    <row r="19" ht="34" customHeight="1">
      <c r="A19" s="5" t="inlineStr">
        <is>
          <t>15</t>
        </is>
      </c>
      <c r="B19" s="6" t="inlineStr">
        <is>
          <t>ローリングアップデート</t>
        </is>
      </c>
      <c r="C19" s="6" t="inlineStr">
        <is>
          <t>旧タスクを残したまま新タスクを立ち上げ、順次入れ替える方式</t>
        </is>
      </c>
      <c r="D19" s="6" t="inlineStr">
        <is>
          <t>当番の交代。しばらく2人が同時にいる時間がある</t>
        </is>
      </c>
    </row>
    <row r="20" ht="34" customHeight="1">
      <c r="A20" s="7" t="inlineStr">
        <is>
          <t>16</t>
        </is>
      </c>
      <c r="B20" s="8" t="inlineStr">
        <is>
          <t>minimumHealthyPercent / maximumPercent</t>
        </is>
      </c>
      <c r="C20" s="8" t="inlineStr">
        <is>
          <t>ECS デプロイ中に維持する最小タスク数／許容する最大タスク数の割合。100/200 なら旧新が必ず重なる</t>
        </is>
      </c>
      <c r="D20" s="8" t="inlineStr">
        <is>
          <t>「当番は必ず1人以上いて、多くても2人まで」というルール</t>
        </is>
      </c>
    </row>
    <row r="21" ht="34" customHeight="1">
      <c r="A21" s="5" t="inlineStr">
        <is>
          <t>17</t>
        </is>
      </c>
      <c r="B21" s="6" t="inlineStr">
        <is>
          <t>NFS（Network File System）</t>
        </is>
      </c>
      <c r="C21" s="6" t="inlineStr">
        <is>
          <t>ネットワーク越しにファイルシステムを共有するプロトコル。EFS は NFSv4.1</t>
        </is>
      </c>
      <c r="D21" s="6" t="inlineStr">
        <is>
          <t>学校の共同倉庫</t>
        </is>
      </c>
    </row>
    <row r="22" ht="34" customHeight="1">
      <c r="A22" s="7" t="inlineStr">
        <is>
          <t>18</t>
        </is>
      </c>
      <c r="B22" s="8" t="inlineStr">
        <is>
          <t>EFS（Amazon Elastic File System）</t>
        </is>
      </c>
      <c r="C22" s="8" t="inlineStr">
        <is>
          <t>AWS のマネージド NFSv4.1 サービス。複数のコンテナから同じディレクトリをマウントできる</t>
        </is>
      </c>
      <c r="D22" s="8" t="inlineStr">
        <is>
          <t>みんなが使える、AWS が管理してくれる共同倉庫</t>
        </is>
      </c>
    </row>
    <row r="23" ht="34" customHeight="1">
      <c r="A23" s="5" t="inlineStr">
        <is>
          <t>19</t>
        </is>
      </c>
      <c r="B23" s="6" t="inlineStr">
        <is>
          <t>StatusLogger</t>
        </is>
      </c>
      <c r="C23" s="6" t="inlineStr">
        <is>
          <t>Log4j2 自身の内部エラーを出力する仕組み。既定では stderr に ERROR レベルのみ</t>
        </is>
      </c>
      <c r="D23" s="6" t="inlineStr">
        <is>
          <t>ノート係のつぶやき。誰も聞いていないことが多い</t>
        </is>
      </c>
    </row>
    <row r="24" ht="34" customHeight="1">
      <c r="A24" s="7" t="inlineStr">
        <is>
          <t>20</t>
        </is>
      </c>
      <c r="B24" s="8" t="inlineStr">
        <is>
          <t>ignoreExceptions</t>
        </is>
      </c>
      <c r="C24" s="8" t="inlineStr">
        <is>
          <t>アペンダ内の例外をアプリに伝播させるかどうか。既定は true（＝伝播させない）</t>
        </is>
      </c>
      <c r="D24" s="8" t="inlineStr">
        <is>
          <t>失敗しても黙っておく設定。既定で黙る</t>
        </is>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30" customWidth="1" min="3" max="3"/>
    <col width="60" customWidth="1" min="4" max="4"/>
    <col width="40" customWidth="1" min="5" max="5"/>
  </cols>
  <sheetData>
    <row r="1" ht="24" customHeight="1">
      <c r="A1" s="1" t="inlineStr">
        <is>
          <t>検証・再現手順と、継続監視の項目</t>
        </is>
      </c>
    </row>
    <row r="3" ht="20" customHeight="1">
      <c r="A3" s="3" t="inlineStr">
        <is>
          <t>■ 検証・再現手順</t>
        </is>
      </c>
    </row>
    <row r="4" ht="30" customHeight="1">
      <c r="A4" s="4" t="inlineStr">
        <is>
          <t>#</t>
        </is>
      </c>
      <c r="B4" s="4" t="inlineStr">
        <is>
          <t>区分</t>
        </is>
      </c>
      <c r="C4" s="4" t="inlineStr">
        <is>
          <t>目的</t>
        </is>
      </c>
      <c r="D4" s="4" t="inlineStr">
        <is>
          <t>コマンド / 手順</t>
        </is>
      </c>
      <c r="E4" s="4" t="inlineStr">
        <is>
          <t>期待結果・判定基準</t>
        </is>
      </c>
    </row>
    <row r="5" ht="50" customHeight="1">
      <c r="A5" s="5" t="inlineStr">
        <is>
          <t>1</t>
        </is>
      </c>
      <c r="B5" s="5" t="inlineStr">
        <is>
          <t>現状確認</t>
        </is>
      </c>
      <c r="C5" s="6" t="inlineStr">
        <is>
          <t>FD がどのファイルを掴んでいるか</t>
        </is>
      </c>
      <c r="D5" s="45" t="inlineStr">
        <is>
          <t>PID=$(pgrep -f 'java .*app.jar' | head -1)
ls -l /proc/$PID/fd | grep -i 'log'</t>
        </is>
      </c>
      <c r="E5" s="45" t="inlineStr">
        <is>
          <t>正常: 9 -&gt; /mnt/efs/logs/trace.log
★異常: 9 -&gt; /mnt/efs/logs/trace-2026-09-17-23.log（現在時刻より前の時間帯）
★異常: 9 -&gt; /mnt/efs/logs/.nfs00000000000ABCDEF00000001</t>
        </is>
      </c>
    </row>
    <row r="6" ht="40" customHeight="1">
      <c r="A6" s="7" t="inlineStr">
        <is>
          <t>2</t>
        </is>
      </c>
      <c r="B6" s="7" t="inlineStr">
        <is>
          <t>現状確認</t>
        </is>
      </c>
      <c r="C6" s="8" t="inlineStr">
        <is>
          <t>lsof での確認（使える場合）</t>
        </is>
      </c>
      <c r="D6" s="46" t="inlineStr">
        <is>
          <t>lsof +D /mnt/efs/logs
lsof /mnt/efs/logs/trace.log</t>
        </is>
      </c>
      <c r="E6" s="46" t="inlineStr">
        <is>
          <t>同一ファイルを2つ以上の PID が開いていれば、シナリオAが進行中</t>
        </is>
      </c>
    </row>
    <row r="7" ht="52" customHeight="1">
      <c r="A7" s="5" t="inlineStr">
        <is>
          <t>3</t>
        </is>
      </c>
      <c r="B7" s="5" t="inlineStr">
        <is>
          <t>現状確認</t>
        </is>
      </c>
      <c r="C7" s="6" t="inlineStr">
        <is>
          <t>名前と実体のズレを inode 番号で確認</t>
        </is>
      </c>
      <c r="D7" s="45" t="inlineStr">
        <is>
          <t>stat -c '%i %n' /mnt/efs/logs/trace*.log
readlink -f /proc/$PID/fd/9
stat -c '%i %n' "$(readlink -f /proc/$PID/fd/9)"</t>
        </is>
      </c>
      <c r="E7" s="45" t="inlineStr">
        <is>
          <t>FD の指す inode 番号が trace.log の inode 番号と一致していること</t>
        </is>
      </c>
    </row>
    <row r="8" ht="44" customHeight="1">
      <c r="A8" s="7" t="inlineStr">
        <is>
          <t>4</t>
        </is>
      </c>
      <c r="B8" s="7" t="inlineStr">
        <is>
          <t>現状確認</t>
        </is>
      </c>
      <c r="C8" s="8" t="inlineStr">
        <is>
          <t>.nfs* ファイルの検出</t>
        </is>
      </c>
      <c r="D8" s="46" t="inlineStr">
        <is>
          <t>find /mnt/efs/logs -maxdepth 2 -name '.nfs*' \
  -printf '%p\t%s bytes\t%TY-%Tm-%Td %TH:%TM\n'</t>
        </is>
      </c>
      <c r="E8" s="46" t="inlineStr">
        <is>
          <t>1件でも出れば、どこかのプロセスが削除済み inode を掴んでいる（シナリオD/E）</t>
        </is>
      </c>
    </row>
    <row r="9" ht="44" customHeight="1">
      <c r="A9" s="5" t="inlineStr">
        <is>
          <t>5</t>
        </is>
      </c>
      <c r="B9" s="5" t="inlineStr">
        <is>
          <t>現状確認</t>
        </is>
      </c>
      <c r="C9" s="6" t="inlineStr">
        <is>
          <t>.nfs* を掴んでいるプロセスの特定</t>
        </is>
      </c>
      <c r="D9" s="45" t="inlineStr">
        <is>
          <t>for p in /proc/[0-9]*; do
  ls -l $p/fd 2&gt;/dev/null | grep -q '\.nfs' &amp;&amp; echo "PID ${p##*/}"
done</t>
        </is>
      </c>
      <c r="E9" s="45" t="inlineStr">
        <is>
          <t>該当 PID が出れば、そのプロセスの FD が原因</t>
        </is>
      </c>
    </row>
    <row r="10" ht="175" customHeight="1">
      <c r="A10" s="7" t="inlineStr">
        <is>
          <t>6</t>
        </is>
      </c>
      <c r="B10" s="7" t="inlineStr">
        <is>
          <t>原理の再現</t>
        </is>
      </c>
      <c r="C10" s="8" t="inlineStr">
        <is>
          <t>rename されても FD が古い inode を掴み続けることの確認（EFS不要・ローカルで可）</t>
        </is>
      </c>
      <c r="D10" s="46" t="inlineStr">
        <is>
          <t>#!/bin/sh
set -eu
cd "$(mktemp -d)"; echo "dir: $PWD"
( exec 3&gt;&gt; trace.log
  i=0
  while [ $i -lt 20 ]; do
    echo "line $i $(date +%T.%N)" &gt;&amp;3
    i=$((i+1)); sleep 0.5
  done ) &amp;
WRITER=$!
sleep 2
mv trace.log trace-OLD.log
touch trace.log
wait $WRITER
echo '=== trace.log ==='; cat trace.log
echo '=== trace-OLD.log ==='; cat trace-OLD.log</t>
        </is>
      </c>
      <c r="E10" s="46" t="inlineStr">
        <is>
          <t>★trace.log は空。rename 後に出力した行まで全部 trace-OLD.log に入っている。
これが「FD を掴み続ける」現象そのもの</t>
        </is>
      </c>
    </row>
    <row r="11" ht="66" customHeight="1">
      <c r="A11" s="5" t="inlineStr">
        <is>
          <t>7</t>
        </is>
      </c>
      <c r="B11" s="5" t="inlineStr">
        <is>
          <t>原理の再現</t>
        </is>
      </c>
      <c r="C11" s="6" t="inlineStr">
        <is>
          <t>2タスク同時追記を EFS 上で再現（別ホスト2台から同時実行）</t>
        </is>
      </c>
      <c r="D11" s="45" t="inlineStr">
        <is>
          <t># ホスト1
for i in $(seq 1 10000); do echo "HOST1-$i" &gt;&gt; /mnt/efs/test/shared.log; done
# ホスト2（同時に）
for i in $(seq 1 10000); do echo "HOST2-$i" &gt;&gt; /mnt/efs/test/shared.log; done</t>
        </is>
      </c>
      <c r="E11" s="45" t="inlineStr">
        <is>
          <t>検証:
wc -l  -&gt; 20000 行未満なら欠損あり
grep -c '^HOST1-' / '^HOST2-'
grep -cP 'HOST\d-\d+HOST'  -&gt; 行の途中割り込み
grep -c $'\0'  -&gt; NUL 穴</t>
        </is>
      </c>
    </row>
    <row r="12" ht="44" customHeight="1">
      <c r="A12" s="7" t="inlineStr">
        <is>
          <t>8</t>
        </is>
      </c>
      <c r="B12" s="7" t="inlineStr">
        <is>
          <t>回帰テスト</t>
        </is>
      </c>
      <c r="C12" s="8" t="inlineStr">
        <is>
          <t>ステージングで時境界をまたぐデプロイを意図的に実行</t>
        </is>
      </c>
      <c r="D12" s="46" t="inlineStr">
        <is>
          <t>23:59:30 頃にローリングアップデートを開始し、01:05 まで放置してから
回転済みファイルの中身と FD の指す先を確認する</t>
        </is>
      </c>
      <c r="E12" s="46" t="inlineStr">
        <is>
          <t>対策適用後は、どのファイルにも時間帯の混入が無く、FD は常に現行ファイルを指していること</t>
        </is>
      </c>
    </row>
    <row r="14" ht="20" customHeight="1">
      <c r="A14" s="3" t="inlineStr">
        <is>
          <t>■ 継続監視の項目</t>
        </is>
      </c>
    </row>
    <row r="15" ht="30" customHeight="1">
      <c r="A15" s="4" t="inlineStr">
        <is>
          <t>#</t>
        </is>
      </c>
      <c r="B15" s="4" t="inlineStr">
        <is>
          <t>優先度</t>
        </is>
      </c>
      <c r="C15" s="4" t="inlineStr">
        <is>
          <t>監視項目</t>
        </is>
      </c>
      <c r="D15" s="4" t="inlineStr">
        <is>
          <t>実装</t>
        </is>
      </c>
      <c r="E15" s="4" t="inlineStr">
        <is>
          <t>検知できるシナリオ</t>
        </is>
      </c>
    </row>
    <row r="16" ht="34" customHeight="1">
      <c r="A16" s="5" t="inlineStr">
        <is>
          <t>1</t>
        </is>
      </c>
      <c r="B16" s="5" t="inlineStr">
        <is>
          <t>最高</t>
        </is>
      </c>
      <c r="C16" s="6" t="inlineStr">
        <is>
          <t>FD が掴んでいるファイル名と現在時刻の整合性</t>
        </is>
      </c>
      <c r="D16" s="6" t="inlineStr">
        <is>
          <t>readlink /proc/&lt;pid&gt;/fd/* を定期チェックし、trace.log 以外なら警報（下のサンプル参照）</t>
        </is>
      </c>
      <c r="E16" s="5" t="inlineStr">
        <is>
          <t>B（最重要）</t>
        </is>
      </c>
    </row>
    <row r="17" ht="34" customHeight="1">
      <c r="A17" s="7" t="inlineStr">
        <is>
          <t>2</t>
        </is>
      </c>
      <c r="B17" s="7" t="inlineStr">
        <is>
          <t>高</t>
        </is>
      </c>
      <c r="C17" s="8" t="inlineStr">
        <is>
          <t>回転済みファイルに、その時間帯より後のタイムスタンプが混入していないか</t>
        </is>
      </c>
      <c r="D17" s="8" t="inlineStr">
        <is>
          <t>日次バッチで各回転ファイルの最終行の時刻を検査</t>
        </is>
      </c>
      <c r="E17" s="7" t="inlineStr">
        <is>
          <t>B / D</t>
        </is>
      </c>
    </row>
    <row r="18" ht="34" customHeight="1">
      <c r="A18" s="5" t="inlineStr">
        <is>
          <t>3</t>
        </is>
      </c>
      <c r="B18" s="5" t="inlineStr">
        <is>
          <t>高</t>
        </is>
      </c>
      <c r="C18" s="6" t="inlineStr">
        <is>
          <t>ハートビート行の欠損</t>
        </is>
      </c>
      <c r="D18" s="6" t="inlineStr">
        <is>
          <t>各タスクが30秒ごとに HEARTBEAT &lt;task-id&gt; &lt;seq&gt; を出力し、集計側で連番の欠けを検出</t>
        </is>
      </c>
      <c r="E18" s="5" t="inlineStr">
        <is>
          <t>A（同時追記による欠損）</t>
        </is>
      </c>
    </row>
    <row r="19" ht="34" customHeight="1">
      <c r="A19" s="7" t="inlineStr">
        <is>
          <t>4</t>
        </is>
      </c>
      <c r="B19" s="7" t="inlineStr">
        <is>
          <t>中</t>
        </is>
      </c>
      <c r="C19" s="8" t="inlineStr">
        <is>
          <t>.nfs* ファイルの存在</t>
        </is>
      </c>
      <c r="D19" s="8" t="inlineStr">
        <is>
          <t>find /mnt/efs/logs -name '.nfs*' を日次</t>
        </is>
      </c>
      <c r="E19" s="7" t="inlineStr">
        <is>
          <t>D / E</t>
        </is>
      </c>
    </row>
    <row r="20" ht="34" customHeight="1">
      <c r="A20" s="5" t="inlineStr">
        <is>
          <t>5</t>
        </is>
      </c>
      <c r="B20" s="5" t="inlineStr">
        <is>
          <t>中</t>
        </is>
      </c>
      <c r="C20" s="6" t="inlineStr">
        <is>
          <t>回転済みファイルのサイズが極端に小さい（ほぼ空）</t>
        </is>
      </c>
      <c r="D20" s="6" t="inlineStr">
        <is>
          <t>日次バッチで前日比較</t>
        </is>
      </c>
      <c r="E20" s="5" t="inlineStr">
        <is>
          <t>B（空の trace-…-00.log）</t>
        </is>
      </c>
    </row>
    <row r="21" ht="34" customHeight="1">
      <c r="A21" s="7" t="inlineStr">
        <is>
          <t>6</t>
        </is>
      </c>
      <c r="B21" s="7" t="inlineStr">
        <is>
          <t>中</t>
        </is>
      </c>
      <c r="C21" s="8" t="inlineStr">
        <is>
          <t>Log4j2 StatusLogger の ERROR</t>
        </is>
      </c>
      <c r="D21" s="8" t="inlineStr">
        <is>
          <t>&lt;Configuration status="WARN"&gt; にし、コンテナの stderr を CloudWatch Logs へ。「Unable to rename」等をメトリクスフィルタで拾う</t>
        </is>
      </c>
      <c r="E21" s="7" t="inlineStr">
        <is>
          <t>rename 失敗</t>
        </is>
      </c>
    </row>
    <row r="22" ht="34" customHeight="1">
      <c r="A22" s="5" t="inlineStr">
        <is>
          <t>7</t>
        </is>
      </c>
      <c r="B22" s="5" t="inlineStr">
        <is>
          <t>低</t>
        </is>
      </c>
      <c r="C22" s="6" t="inlineStr">
        <is>
          <t>EFS の StorageBytes / MeteredIOBytes の異常増</t>
        </is>
      </c>
      <c r="D22" s="6" t="inlineStr">
        <is>
          <t>CloudWatch アラーム</t>
        </is>
      </c>
      <c r="E22" s="5" t="inlineStr">
        <is>
          <t>.nfs* による容量リーク</t>
        </is>
      </c>
    </row>
    <row r="24" ht="290" customHeight="1">
      <c r="A24" s="43" t="inlineStr">
        <is>
          <t>監視1の
サンプル実装</t>
        </is>
      </c>
      <c r="B24" s="13" t="n"/>
      <c r="C24" s="11" t="inlineStr">
        <is>
          <t>#!/bin/sh
# check-log-fd.sh : ログFDが現行ファイルを指しているか確認
set -eu
EXPECT="/mnt/efs/logs/trace.log"
NG=0
for p in /proc/[0-9]*; do
  [ -d "$p/fd" ] || continue
  for fd in "$p"/fd/*; do
    t=$(readlink "$fd" 2&gt;/dev/null) || continue
    case "$t" in
      */trace*.log|*/.nfs*)
        if [ "$t" != "$EXPECT" ]; then
          echo "NG pid=${p##*/} fd=${fd##*/} -&gt; $t"
          NG=1
        fi
        ;;
    esac
  done
done
exit $NG</t>
        </is>
      </c>
      <c r="D24" s="12" t="n"/>
      <c r="E24" s="13" t="n"/>
    </row>
  </sheetData>
  <mergeCells count="5">
    <mergeCell ref="A24:B24"/>
    <mergeCell ref="A3:E3"/>
    <mergeCell ref="A1:E1"/>
    <mergeCell ref="A14:E14"/>
    <mergeCell ref="C24:E24"/>
  </mergeCells>
  <pageMargins left="0.75" right="0.75" top="1" bottom="1" header="0.5" footer="0.5"/>
</worksheet>
</file>

<file path=xl/worksheets/sheet13.xml><?xml version="1.0" encoding="utf-8"?>
<worksheet xmlns="http://schemas.openxmlformats.org/spreadsheetml/2006/main">
  <sheetPr>
    <tabColor rgb="00ED7D31"/>
    <outlinePr summaryBelow="1" summaryRight="1"/>
    <pageSetUpPr/>
  </sheetPr>
  <dimension ref="A1:F30"/>
  <sheetViews>
    <sheetView showGridLines="0" workbookViewId="0">
      <pane ySplit="3" topLeftCell="A4" activePane="bottomLeft" state="frozen"/>
      <selection pane="bottomLeft" activeCell="A1" sqref="A1"/>
    </sheetView>
  </sheetViews>
  <sheetFormatPr baseColWidth="8" defaultRowHeight="15"/>
  <cols>
    <col width="6" customWidth="1" min="1" max="1"/>
    <col width="18" customWidth="1" min="2" max="2"/>
    <col width="56" customWidth="1" min="3" max="3"/>
    <col width="16" customWidth="1" min="4" max="4"/>
    <col width="14" customWidth="1" min="5" max="5"/>
    <col width="30" customWidth="1" min="6" max="6"/>
  </cols>
  <sheetData>
    <row r="1" ht="24" customHeight="1">
      <c r="A1" s="1" t="inlineStr">
        <is>
          <t>チェックリスト</t>
        </is>
      </c>
    </row>
    <row r="2">
      <c r="A2" s="2" t="inlineStr">
        <is>
          <t>「状態」列は記入用です（未着手／実施中／完了／該当なし）。</t>
        </is>
      </c>
    </row>
    <row r="4" ht="20" customHeight="1">
      <c r="A4" s="3" t="inlineStr">
        <is>
          <t>■ 今すぐ確認すべきこと</t>
        </is>
      </c>
    </row>
    <row r="5" ht="30" customHeight="1">
      <c r="A5" s="4" t="inlineStr">
        <is>
          <t>#</t>
        </is>
      </c>
      <c r="B5" s="4" t="inlineStr">
        <is>
          <t>区分</t>
        </is>
      </c>
      <c r="C5" s="4" t="inlineStr">
        <is>
          <t>確認項目</t>
        </is>
      </c>
      <c r="D5" s="4" t="inlineStr">
        <is>
          <t>確認方法</t>
        </is>
      </c>
      <c r="E5" s="4" t="inlineStr">
        <is>
          <t>状態</t>
        </is>
      </c>
      <c r="F5" s="4" t="inlineStr">
        <is>
          <t>結果・メモ</t>
        </is>
      </c>
    </row>
    <row r="6" ht="26" customHeight="1">
      <c r="A6" s="5" t="inlineStr">
        <is>
          <t>1</t>
        </is>
      </c>
      <c r="B6" s="5" t="inlineStr">
        <is>
          <t>現状把握</t>
        </is>
      </c>
      <c r="C6" s="6" t="inlineStr">
        <is>
          <t>本番の /mnt/efs/logs/ に .nfs* ファイルが無いか</t>
        </is>
      </c>
      <c r="D6" s="6" t="inlineStr">
        <is>
          <t>11_検証と監視 #4</t>
        </is>
      </c>
      <c r="E6" s="5" t="inlineStr"/>
      <c r="F6" s="6" t="inlineStr"/>
    </row>
    <row r="7" ht="26" customHeight="1">
      <c r="A7" s="7" t="inlineStr">
        <is>
          <t>2</t>
        </is>
      </c>
      <c r="B7" s="7" t="inlineStr">
        <is>
          <t>現状把握</t>
        </is>
      </c>
      <c r="C7" s="8" t="inlineStr">
        <is>
          <t>回転済みファイル（trace-*.log）の最終行のタイムスタンプが、そのファイル名の時間帯を超えていないか</t>
        </is>
      </c>
      <c r="D7" s="8" t="inlineStr">
        <is>
          <t>tail -1 で確認</t>
        </is>
      </c>
      <c r="E7" s="7" t="inlineStr"/>
      <c r="F7" s="8" t="inlineStr"/>
    </row>
    <row r="8" ht="26" customHeight="1">
      <c r="A8" s="5" t="inlineStr">
        <is>
          <t>3</t>
        </is>
      </c>
      <c r="B8" s="5" t="inlineStr">
        <is>
          <t>現状把握</t>
        </is>
      </c>
      <c r="C8" s="6" t="inlineStr">
        <is>
          <t>極端にサイズが小さい（ほぼ空の）回転済みファイルが無いか</t>
        </is>
      </c>
      <c r="D8" s="6" t="inlineStr">
        <is>
          <t>ls -l で前後比較</t>
        </is>
      </c>
      <c r="E8" s="5" t="inlineStr"/>
      <c r="F8" s="6" t="inlineStr"/>
    </row>
    <row r="9" ht="26" customHeight="1">
      <c r="A9" s="7" t="inlineStr">
        <is>
          <t>4</t>
        </is>
      </c>
      <c r="B9" s="7" t="inlineStr">
        <is>
          <t>現状把握</t>
        </is>
      </c>
      <c r="C9" s="8" t="inlineStr">
        <is>
          <t>稼働中 JVM の FD が trace.log 以外を指していないか</t>
        </is>
      </c>
      <c r="D9" s="8" t="inlineStr">
        <is>
          <t>11_検証と監視 #1</t>
        </is>
      </c>
      <c r="E9" s="7" t="inlineStr"/>
      <c r="F9" s="8" t="inlineStr"/>
    </row>
    <row r="10" ht="26" customHeight="1">
      <c r="A10" s="5" t="inlineStr">
        <is>
          <t>5</t>
        </is>
      </c>
      <c r="B10" s="5" t="inlineStr">
        <is>
          <t>現状把握</t>
        </is>
      </c>
      <c r="C10" s="6" t="inlineStr">
        <is>
          <t>ログに NUL バイトや行の途中割り込みが混ざっていないか</t>
        </is>
      </c>
      <c r="D10" s="6" t="inlineStr">
        <is>
          <t>11_検証と監視 #7 の検証コマンド</t>
        </is>
      </c>
      <c r="E10" s="5" t="inlineStr"/>
      <c r="F10" s="6" t="inlineStr"/>
    </row>
    <row r="11" ht="26" customHeight="1">
      <c r="A11" s="7" t="inlineStr">
        <is>
          <t>6</t>
        </is>
      </c>
      <c r="B11" s="7" t="inlineStr">
        <is>
          <t>現状把握</t>
        </is>
      </c>
      <c r="C11" s="8" t="inlineStr">
        <is>
          <t>Log4j2 の StatusLogger 出力（stderr）に rename 失敗が出ていないか</t>
        </is>
      </c>
      <c r="D11" s="8" t="inlineStr">
        <is>
          <t>コンテナログを grep</t>
        </is>
      </c>
      <c r="E11" s="7" t="inlineStr"/>
      <c r="F11" s="8" t="inlineStr"/>
    </row>
    <row r="12" ht="26" customHeight="1">
      <c r="A12" s="5" t="inlineStr">
        <is>
          <t>7</t>
        </is>
      </c>
      <c r="B12" s="5" t="inlineStr">
        <is>
          <t>現状把握</t>
        </is>
      </c>
      <c r="C12" s="6" t="inlineStr">
        <is>
          <t>デプロイ用パイプラインの実際のタスク起動時刻（00:00 ちょうどか、前後にずれているか）</t>
        </is>
      </c>
      <c r="D12" s="6" t="inlineStr">
        <is>
          <t>ECS のイベントログ／CloudTrail</t>
        </is>
      </c>
      <c r="E12" s="5" t="inlineStr"/>
      <c r="F12" s="6" t="inlineStr"/>
    </row>
    <row r="13" ht="26" customHeight="1">
      <c r="A13" s="7" t="inlineStr">
        <is>
          <t>8</t>
        </is>
      </c>
      <c r="B13" s="7" t="inlineStr">
        <is>
          <t>現状把握</t>
        </is>
      </c>
      <c r="C13" s="8" t="inlineStr">
        <is>
          <t>filePattern に .gz などの圧縮指定が入っているか（入っていればシナリオEも該当）</t>
        </is>
      </c>
      <c r="D13" s="8" t="inlineStr">
        <is>
          <t>log4j2.xml を確認</t>
        </is>
      </c>
      <c r="E13" s="7" t="inlineStr"/>
      <c r="F13" s="8" t="inlineStr"/>
    </row>
    <row r="14" ht="26" customHeight="1">
      <c r="A14" s="5" t="inlineStr">
        <is>
          <t>9</t>
        </is>
      </c>
      <c r="B14" s="5" t="inlineStr">
        <is>
          <t>現状把握</t>
        </is>
      </c>
      <c r="C14" s="6" t="inlineStr">
        <is>
          <t>EFS を直接読んでいるバッチ・収集プロセスの一覧</t>
        </is>
      </c>
      <c r="D14" s="6" t="inlineStr">
        <is>
          <t>運用ドキュメント／プロセス棚卸し</t>
        </is>
      </c>
      <c r="E14" s="5" t="inlineStr"/>
      <c r="F14" s="6" t="inlineStr"/>
    </row>
    <row r="15" ht="26" customHeight="1">
      <c r="A15" s="7" t="inlineStr">
        <is>
          <t>10</t>
        </is>
      </c>
      <c r="B15" s="7" t="inlineStr">
        <is>
          <t>現状把握</t>
        </is>
      </c>
      <c r="C15" s="8" t="inlineStr">
        <is>
          <t>使用中の Log4j2 のバージョン</t>
        </is>
      </c>
      <c r="D15" s="8" t="inlineStr">
        <is>
          <t>mvn dependency:tree など</t>
        </is>
      </c>
      <c r="E15" s="7" t="inlineStr"/>
      <c r="F15" s="8" t="inlineStr"/>
    </row>
    <row r="17" ht="20" customHeight="1">
      <c r="A17" s="3" t="inlineStr">
        <is>
          <t>■ 対策実施のステップ</t>
        </is>
      </c>
    </row>
    <row r="18" ht="30" customHeight="1">
      <c r="A18" s="4" t="inlineStr">
        <is>
          <t>STEP</t>
        </is>
      </c>
      <c r="B18" s="4" t="inlineStr">
        <is>
          <t>区分</t>
        </is>
      </c>
      <c r="C18" s="4" t="inlineStr">
        <is>
          <t>アクション</t>
        </is>
      </c>
      <c r="D18" s="4" t="inlineStr">
        <is>
          <t>期間目安</t>
        </is>
      </c>
      <c r="E18" s="4" t="inlineStr">
        <is>
          <t>状態</t>
        </is>
      </c>
      <c r="F18" s="4" t="inlineStr">
        <is>
          <t>結果・メモ</t>
        </is>
      </c>
    </row>
    <row r="19" ht="26" customHeight="1">
      <c r="A19" s="5" t="inlineStr">
        <is>
          <t>0</t>
        </is>
      </c>
      <c r="B19" s="5" t="inlineStr">
        <is>
          <t>応急処置</t>
        </is>
      </c>
      <c r="C19" s="6" t="inlineStr">
        <is>
          <t>デプロイ時刻を 00:00 → 00:20 へ移動（案8）</t>
        </is>
      </c>
      <c r="D19" s="5" t="inlineStr">
        <is>
          <t>当日</t>
        </is>
      </c>
      <c r="E19" s="47" t="inlineStr"/>
      <c r="F19" s="48" t="inlineStr"/>
    </row>
    <row r="20" ht="26" customHeight="1">
      <c r="A20" s="7" t="inlineStr">
        <is>
          <t>1</t>
        </is>
      </c>
      <c r="B20" s="7" t="inlineStr">
        <is>
          <t>再発防止</t>
        </is>
      </c>
      <c r="C20" s="8" t="inlineStr">
        <is>
          <t>interval="1" を明示し、周期が %d の最小単位で決まる旨のコメントを設定ファイルに追記（案16）</t>
        </is>
      </c>
      <c r="D20" s="7" t="inlineStr">
        <is>
          <t>当日</t>
        </is>
      </c>
      <c r="E20" s="47" t="inlineStr"/>
      <c r="F20" s="48" t="inlineStr"/>
    </row>
    <row r="21" ht="26" customHeight="1">
      <c r="A21" s="5" t="inlineStr">
        <is>
          <t>2</t>
        </is>
      </c>
      <c r="B21" s="5" t="inlineStr">
        <is>
          <t>計測</t>
        </is>
      </c>
      <c r="C21" s="6" t="inlineStr">
        <is>
          <t>監視（11_検証と監視 の #1〜#5）を追加し、現状の事故発生率を実測</t>
        </is>
      </c>
      <c r="D21" s="5" t="inlineStr">
        <is>
          <t>1週間</t>
        </is>
      </c>
      <c r="E21" s="47" t="inlineStr"/>
      <c r="F21" s="48" t="inlineStr"/>
    </row>
    <row r="22" ht="26" customHeight="1">
      <c r="A22" s="7" t="inlineStr">
        <is>
          <t>3</t>
        </is>
      </c>
      <c r="B22" s="7" t="inlineStr">
        <is>
          <t>方式決定</t>
        </is>
      </c>
      <c r="C22" s="8" t="inlineStr">
        <is>
          <t>案1（stdout+FireLens）／案2（DirectWrite+タスクID別パス）のどちらを採用するか決定</t>
        </is>
      </c>
      <c r="D22" s="7" t="inlineStr">
        <is>
          <t>1週間</t>
        </is>
      </c>
      <c r="E22" s="47" t="inlineStr"/>
      <c r="F22" s="48" t="inlineStr"/>
    </row>
    <row r="23" ht="26" customHeight="1">
      <c r="A23" s="5" t="inlineStr">
        <is>
          <t>4</t>
        </is>
      </c>
      <c r="B23" s="5" t="inlineStr">
        <is>
          <t>実装</t>
        </is>
      </c>
      <c r="C23" s="6" t="inlineStr">
        <is>
          <t>log4j2.xml と entrypoint.sh の変更（08_推奨構成と設定例 を参照）</t>
        </is>
      </c>
      <c r="D23" s="5" t="inlineStr">
        <is>
          <t>1〜2週間</t>
        </is>
      </c>
      <c r="E23" s="47" t="inlineStr"/>
      <c r="F23" s="48" t="inlineStr"/>
    </row>
    <row r="24" ht="26" customHeight="1">
      <c r="A24" s="7" t="inlineStr">
        <is>
          <t>5</t>
        </is>
      </c>
      <c r="B24" s="7" t="inlineStr">
        <is>
          <t>実装</t>
        </is>
      </c>
      <c r="C24" s="8" t="inlineStr">
        <is>
          <t>ログ収集側（EFS 直読みバッチ、Fluentd の glob など）の改修</t>
        </is>
      </c>
      <c r="D24" s="7" t="inlineStr">
        <is>
          <t>STEP4と並行</t>
        </is>
      </c>
      <c r="E24" s="47" t="inlineStr"/>
      <c r="F24" s="48" t="inlineStr"/>
    </row>
    <row r="25" ht="26" customHeight="1">
      <c r="A25" s="5" t="inlineStr">
        <is>
          <t>6</t>
        </is>
      </c>
      <c r="B25" s="5" t="inlineStr">
        <is>
          <t>検証</t>
        </is>
      </c>
      <c r="C25" s="6" t="inlineStr">
        <is>
          <t>ステージングでローリングアップデートを時境界をまたぐ時刻に意図的に実行して検証</t>
        </is>
      </c>
      <c r="D25" s="5" t="inlineStr">
        <is>
          <t>1週間</t>
        </is>
      </c>
      <c r="E25" s="47" t="inlineStr"/>
      <c r="F25" s="48" t="inlineStr"/>
    </row>
    <row r="26" ht="26" customHeight="1">
      <c r="A26" s="7" t="inlineStr">
        <is>
          <t>7</t>
        </is>
      </c>
      <c r="B26" s="7" t="inlineStr">
        <is>
          <t>適用</t>
        </is>
      </c>
      <c r="C26" s="8" t="inlineStr">
        <is>
          <t>本番適用</t>
        </is>
      </c>
      <c r="D26" s="7" t="inlineStr">
        <is>
          <t>1日</t>
        </is>
      </c>
      <c r="E26" s="47" t="inlineStr"/>
      <c r="F26" s="48" t="inlineStr"/>
    </row>
    <row r="27" ht="26" customHeight="1">
      <c r="A27" s="5" t="inlineStr">
        <is>
          <t>8</t>
        </is>
      </c>
      <c r="B27" s="5" t="inlineStr">
        <is>
          <t>確認</t>
        </is>
      </c>
      <c r="C27" s="6" t="inlineStr">
        <is>
          <t>適用後1週間は STEP2 の監視で回帰を確認</t>
        </is>
      </c>
      <c r="D27" s="5" t="inlineStr">
        <is>
          <t>1週間</t>
        </is>
      </c>
      <c r="E27" s="47" t="inlineStr"/>
      <c r="F27" s="48" t="inlineStr"/>
    </row>
    <row r="28" ht="26" customHeight="1">
      <c r="A28" s="7" t="inlineStr">
        <is>
          <t>9</t>
        </is>
      </c>
      <c r="B28" s="7" t="inlineStr">
        <is>
          <t>後始末</t>
        </is>
      </c>
      <c r="C28" s="8" t="inlineStr">
        <is>
          <t>応急処置（STEP0 のデプロイ時刻変更）を元に戻すか判断</t>
        </is>
      </c>
      <c r="D28" s="7" t="inlineStr">
        <is>
          <t>—</t>
        </is>
      </c>
      <c r="E28" s="47" t="inlineStr"/>
      <c r="F28" s="48" t="inlineStr"/>
    </row>
    <row r="30">
      <c r="A30" s="2" t="inlineStr">
        <is>
          <t>※ 黄色のセルは記入用です。</t>
        </is>
      </c>
    </row>
  </sheetData>
  <mergeCells count="5">
    <mergeCell ref="A2:F2"/>
    <mergeCell ref="A1:F1"/>
    <mergeCell ref="A17:F17"/>
    <mergeCell ref="A4:F4"/>
    <mergeCell ref="A30:F30"/>
  </mergeCells>
  <pageMargins left="0.75" right="0.75" top="1" bottom="1" header="0.5" footer="0.5"/>
</worksheet>
</file>

<file path=xl/worksheets/sheet14.xml><?xml version="1.0" encoding="utf-8"?>
<worksheet xmlns="http://schemas.openxmlformats.org/spreadsheetml/2006/main">
  <sheetPr>
    <tabColor rgb="00A6A6A6"/>
    <outlinePr summaryBelow="1" summaryRight="1"/>
    <pageSetUpPr/>
  </sheetPr>
  <dimension ref="A1:D35"/>
  <sheetViews>
    <sheetView showGridLines="0" workbookViewId="0">
      <pane ySplit="3" topLeftCell="A4" activePane="bottomLeft" state="frozen"/>
      <selection pane="bottomLeft" activeCell="A1" sqref="A1"/>
    </sheetView>
  </sheetViews>
  <sheetFormatPr baseColWidth="8" defaultRowHeight="15"/>
  <cols>
    <col width="6" customWidth="1" min="1" max="1"/>
    <col width="30" customWidth="1" min="2" max="2"/>
    <col width="44" customWidth="1" min="3" max="3"/>
    <col width="60" customWidth="1" min="4" max="4"/>
  </cols>
  <sheetData>
    <row r="1" ht="24" customHeight="1">
      <c r="A1" s="1" t="inlineStr">
        <is>
          <t>参考情報と、本資料で「要確認」としている箇所</t>
        </is>
      </c>
    </row>
    <row r="3" ht="20" customHeight="1">
      <c r="A3" s="3" t="inlineStr">
        <is>
          <t>■ 一次情報として当たるべきもの</t>
        </is>
      </c>
    </row>
    <row r="4" ht="30" customHeight="1">
      <c r="A4" s="4" t="inlineStr">
        <is>
          <t>#</t>
        </is>
      </c>
      <c r="B4" s="4" t="inlineStr">
        <is>
          <t>対象</t>
        </is>
      </c>
      <c r="C4" s="4" t="inlineStr">
        <is>
          <t>確認先</t>
        </is>
      </c>
      <c r="D4" s="4" t="inlineStr">
        <is>
          <t>何を確認するか</t>
        </is>
      </c>
    </row>
    <row r="5" ht="32" customHeight="1">
      <c r="A5" s="5" t="inlineStr">
        <is>
          <t>1</t>
        </is>
      </c>
      <c r="B5" s="6" t="inlineStr">
        <is>
          <t>O_APPEND と NFS の競合</t>
        </is>
      </c>
      <c r="C5" s="6" t="inlineStr">
        <is>
          <t>man 2 open の NOTES セクション</t>
        </is>
      </c>
      <c r="D5" s="6" t="inlineStr">
        <is>
          <t>「複数プロセスの同時追記は NFS 上でファイルを壊す」という警告文（本資料 02 シートに引用）</t>
        </is>
      </c>
    </row>
    <row r="6" ht="32" customHeight="1">
      <c r="A6" s="7" t="inlineStr">
        <is>
          <t>2</t>
        </is>
      </c>
      <c r="B6" s="8" t="inlineStr">
        <is>
          <t>FD と inode の関係</t>
        </is>
      </c>
      <c r="C6" s="8" t="inlineStr">
        <is>
          <t>man 2 open / man 7 inode / man 2 rename / man 2 unlink</t>
        </is>
      </c>
      <c r="D6" s="8" t="inlineStr">
        <is>
          <t>rename が開いている FD に影響しないこと、rename が移動先を黙って上書きすること</t>
        </is>
      </c>
    </row>
    <row r="7" ht="32" customHeight="1">
      <c r="A7" s="5" t="inlineStr">
        <is>
          <t>3</t>
        </is>
      </c>
      <c r="B7" s="6" t="inlineStr">
        <is>
          <t>silly rename</t>
        </is>
      </c>
      <c r="C7" s="6" t="inlineStr">
        <is>
          <t>man 5 nfs、Linux カーネル NFS クライアントのドキュメント</t>
        </is>
      </c>
      <c r="D7" s="6" t="inlineStr">
        <is>
          <t>.nfs* ファイルが生まれる条件と、消えるタイミング</t>
        </is>
      </c>
    </row>
    <row r="8" ht="32" customHeight="1">
      <c r="A8" s="7" t="inlineStr">
        <is>
          <t>4</t>
        </is>
      </c>
      <c r="B8" s="8" t="inlineStr">
        <is>
          <t>NFSv4.1 仕様</t>
        </is>
      </c>
      <c r="C8" s="8" t="inlineStr">
        <is>
          <t>RFC 5661</t>
        </is>
      </c>
      <c r="D8" s="8" t="inlineStr">
        <is>
          <t>OPEN 状態の扱い、削除された inode への書き込み時の挙動</t>
        </is>
      </c>
    </row>
    <row r="9" ht="32" customHeight="1">
      <c r="A9" s="5" t="inlineStr">
        <is>
          <t>5</t>
        </is>
      </c>
      <c r="B9" s="6" t="inlineStr">
        <is>
          <t>Log4j2 RollingFileAppender</t>
        </is>
      </c>
      <c r="C9" s="6" t="inlineStr">
        <is>
          <t>Apache Log4j 2 公式マニュアル「Appenders」</t>
        </is>
      </c>
      <c r="D9" s="6" t="inlineStr">
        <is>
          <t>TimeBasedTriggeringPolicy の interval/modulate、DirectWriteRolloverStrategy、CronTriggeringPolicy</t>
        </is>
      </c>
    </row>
    <row r="10" ht="32" customHeight="1">
      <c r="A10" s="7" t="inlineStr">
        <is>
          <t>6</t>
        </is>
      </c>
      <c r="B10" s="8" t="inlineStr">
        <is>
          <t>Log4j2 の複数JVM共有に関する見解</t>
        </is>
      </c>
      <c r="C10" s="8" t="inlineStr">
        <is>
          <t>Apache Log4j 2 公式 FAQ</t>
        </is>
      </c>
      <c r="D10" s="8" t="inlineStr">
        <is>
          <t>複数 JVM から同一ファイルへの書き込みがサポートされないこと、推奨される代替手段</t>
        </is>
      </c>
    </row>
    <row r="11" ht="32" customHeight="1">
      <c r="A11" s="5" t="inlineStr">
        <is>
          <t>7</t>
        </is>
      </c>
      <c r="B11" s="6" t="inlineStr">
        <is>
          <t>ECS デプロイ設定</t>
        </is>
      </c>
      <c r="C11" s="6" t="inlineStr">
        <is>
          <t>AWS 公式「Amazon ECS デプロイタイプ / ローリング更新」</t>
        </is>
      </c>
      <c r="D11" s="6" t="inlineStr">
        <is>
          <t>minimumHealthyPercent / maximumPercent の意味と、重複期間の長さ</t>
        </is>
      </c>
    </row>
    <row r="12" ht="32" customHeight="1">
      <c r="A12" s="7" t="inlineStr">
        <is>
          <t>8</t>
        </is>
      </c>
      <c r="B12" s="8" t="inlineStr">
        <is>
          <t>ECS タスクメタデータ v4</t>
        </is>
      </c>
      <c r="C12" s="8" t="inlineStr">
        <is>
          <t>AWS 公式「タスクメタデータエンドポイントバージョン 4」</t>
        </is>
      </c>
      <c r="D12" s="8" t="inlineStr">
        <is>
          <t>ECS_CONTAINER_METADATA_URI_V4 のレスポンス形式と TaskARN の取得方法</t>
        </is>
      </c>
    </row>
    <row r="13" ht="32" customHeight="1">
      <c r="A13" s="5" t="inlineStr">
        <is>
          <t>9</t>
        </is>
      </c>
      <c r="B13" s="6" t="inlineStr">
        <is>
          <t>EFS の制限と性能</t>
        </is>
      </c>
      <c r="C13" s="6" t="inlineStr">
        <is>
          <t>AWS 公式「Amazon EFS のクォータ」「パフォーマンス」</t>
        </is>
      </c>
      <c r="D13" s="6" t="inlineStr">
        <is>
          <t>ロックのサポート範囲、メタデータ操作のレイテンシ、スループットモードの違い</t>
        </is>
      </c>
    </row>
    <row r="14" ht="32" customHeight="1">
      <c r="A14" s="7" t="inlineStr">
        <is>
          <t>10</t>
        </is>
      </c>
      <c r="B14" s="8" t="inlineStr">
        <is>
          <t>12-Factor App 第XI条</t>
        </is>
      </c>
      <c r="C14" s="8" t="inlineStr">
        <is>
          <t>https://12factor.net/logs</t>
        </is>
      </c>
      <c r="D14" s="8" t="inlineStr">
        <is>
          <t>「ログをイベントストリームとして扱う」原則の原文</t>
        </is>
      </c>
    </row>
    <row r="16" ht="20" customHeight="1">
      <c r="A16" s="3" t="inlineStr">
        <is>
          <t>■ 本資料で「要確認」としている箇所</t>
        </is>
      </c>
    </row>
    <row r="17" ht="30" customHeight="1">
      <c r="A17" s="4" t="inlineStr">
        <is>
          <t>#</t>
        </is>
      </c>
      <c r="B17" s="4" t="inlineStr">
        <is>
          <t>箇所</t>
        </is>
      </c>
      <c r="C17" s="4" t="inlineStr">
        <is>
          <t>何が不確実か</t>
        </is>
      </c>
      <c r="D17" s="4" t="inlineStr">
        <is>
          <t>確認方法の提案</t>
        </is>
      </c>
    </row>
    <row r="18" ht="52" customHeight="1">
      <c r="A18" s="5" t="inlineStr">
        <is>
          <t>1</t>
        </is>
      </c>
      <c r="B18" s="6" t="inlineStr">
        <is>
          <t>Log4j2 の rename 失敗時の挙動</t>
        </is>
      </c>
      <c r="C18" s="6" t="inlineStr">
        <is>
          <t>RollingFileManager がストリームを開き直すのか、旧ストリームを保持するのかはバージョンにより差がある</t>
        </is>
      </c>
      <c r="D18" s="6" t="inlineStr">
        <is>
          <t>使用中バージョンの RollingFileManager のソースを読む。または、rename が失敗する状況（親ディレクトリを一時的に読み取り専用にする等）を作って実機で確認する</t>
        </is>
      </c>
    </row>
    <row r="19" ht="52" customHeight="1">
      <c r="A19" s="7" t="inlineStr">
        <is>
          <t>2</t>
        </is>
      </c>
      <c r="B19" s="8" t="inlineStr">
        <is>
          <t>別クライアントから rename 上書きされた inode への書き込み</t>
        </is>
      </c>
      <c r="C19" s="8" t="inlineStr">
        <is>
          <t>ESTALE になるかどうかは NFSv4 のサーバ実装依存。EFS の実挙動は未確認</t>
        </is>
      </c>
      <c r="D19" s="8" t="inlineStr">
        <is>
          <t>EC2 2台から同じ EFS をマウントし、一方が開いているファイルを他方が rename で上書きして、書き込みが成功するか ESTALE になるかを実測する</t>
        </is>
      </c>
    </row>
    <row r="20" ht="52" customHeight="1">
      <c r="A20" s="5" t="inlineStr">
        <is>
          <t>3</t>
        </is>
      </c>
      <c r="B20" s="6" t="inlineStr">
        <is>
          <t>EFS のメタデータ操作レイテンシ</t>
        </is>
      </c>
      <c r="C20" s="6" t="inlineStr">
        <is>
          <t>本資料では 1ms 前後と仮定。スループットモード・リージョン・負荷により変動する</t>
        </is>
      </c>
      <c r="D20" s="6" t="inlineStr">
        <is>
          <t>strace -T -e trace=rename,openat で実測し、05_発生確率モデル の G を差し替える</t>
        </is>
      </c>
    </row>
    <row r="21" ht="52" customHeight="1">
      <c r="A21" s="7" t="inlineStr">
        <is>
          <t>4</t>
        </is>
      </c>
      <c r="B21" s="8" t="inlineStr">
        <is>
          <t>Log4j2 のバージョン</t>
        </is>
      </c>
      <c r="C21" s="8" t="inlineStr">
        <is>
          <t>本資料は 2.x 系を前提。3.x 系ではモジュール構成・パッケージ配置が再編されている</t>
        </is>
      </c>
      <c r="D21" s="8" t="inlineStr">
        <is>
          <t>mvn dependency:tree で確認。ただし「FD が rename に気づかない」「NFS の追記は原子的でない」という本質は OS 側の性質なのでバージョンに依存しない</t>
        </is>
      </c>
    </row>
    <row r="22" ht="52" customHeight="1">
      <c r="A22" s="5" t="inlineStr">
        <is>
          <t>5</t>
        </is>
      </c>
      <c r="B22" s="6" t="inlineStr">
        <is>
          <t>${env:VAR:-default} のデフォルト値構文</t>
        </is>
      </c>
      <c r="C22" s="6" t="inlineStr">
        <is>
          <t>サポート状況がバージョンにより異なる場合がある</t>
        </is>
      </c>
      <c r="D22" s="6" t="inlineStr">
        <is>
          <t>ステージングで環境変数を未設定にして起動し、unknown ディレクトリが作られるか確認する</t>
        </is>
      </c>
    </row>
    <row r="23" ht="52" customHeight="1">
      <c r="A23" s="7" t="inlineStr">
        <is>
          <t>6</t>
        </is>
      </c>
      <c r="B23" s="8" t="inlineStr">
        <is>
          <t>ECS の HOSTNAME 環境変数</t>
        </is>
      </c>
      <c r="C23" s="8" t="inlineStr">
        <is>
          <t>値（コンテナIDか否か）は起動タイプにより異なる</t>
        </is>
      </c>
      <c r="D23" s="8" t="inlineStr">
        <is>
          <t>本資料ではタスクメタデータエンドポイント経由での取得を推奨しており、HOSTNAME には依存しない設計にしてある</t>
        </is>
      </c>
    </row>
    <row r="24" ht="52" customHeight="1">
      <c r="A24" s="5" t="inlineStr">
        <is>
          <t>7</t>
        </is>
      </c>
      <c r="B24" s="6" t="inlineStr">
        <is>
          <t>歴史年表の年月日・人名</t>
        </is>
      </c>
      <c r="C24" s="6" t="inlineStr">
        <is>
          <t>一般に流通している情報に基づく概略であり、一次資料による裏取りはしていない</t>
        </is>
      </c>
      <c r="D24" s="6" t="inlineStr">
        <is>
          <t>RFC、各プロジェクトの CHANGELOG / リリースノートで確認</t>
        </is>
      </c>
    </row>
    <row r="26" ht="20" customHeight="1">
      <c r="A26" s="3" t="inlineStr">
        <is>
          <t>■ 確率計算で用いた仮定（すべてモデルであり実測値ではありません）</t>
        </is>
      </c>
    </row>
    <row r="27" ht="30" customHeight="1">
      <c r="A27" s="4" t="inlineStr">
        <is>
          <t>#</t>
        </is>
      </c>
      <c r="B27" s="4" t="inlineStr">
        <is>
          <t>仮定</t>
        </is>
      </c>
      <c r="C27" s="4" t="inlineStr">
        <is>
          <t>値</t>
        </is>
      </c>
      <c r="D27" s="4" t="inlineStr">
        <is>
          <t>根拠</t>
        </is>
      </c>
    </row>
    <row r="28" ht="32" customHeight="1">
      <c r="A28" s="5" t="inlineStr">
        <is>
          <t>1</t>
        </is>
      </c>
      <c r="B28" s="6" t="inlineStr">
        <is>
          <t>W：ログ書き込み間隔</t>
        </is>
      </c>
      <c r="C28" s="5" t="inlineStr">
        <is>
          <t>30 秒</t>
        </is>
      </c>
      <c r="D28" s="6" t="inlineStr">
        <is>
          <t>ユーザー提示の前提値</t>
        </is>
      </c>
    </row>
    <row r="29" ht="32" customHeight="1">
      <c r="A29" s="7" t="inlineStr">
        <is>
          <t>2</t>
        </is>
      </c>
      <c r="B29" s="8" t="inlineStr">
        <is>
          <t>Δ：回転遅延の分布</t>
        </is>
      </c>
      <c r="C29" s="7" t="inlineStr">
        <is>
          <t>U(0, W)</t>
        </is>
      </c>
      <c r="D29" s="8" t="inlineStr">
        <is>
          <t>書き込みタイミングと時境界の位相が無相関という仮定。ロールオーバは次のログ出力で判定されるため</t>
        </is>
      </c>
    </row>
    <row r="30" ht="32" customHeight="1">
      <c r="A30" s="5" t="inlineStr">
        <is>
          <t>3</t>
        </is>
      </c>
      <c r="B30" s="6" t="inlineStr">
        <is>
          <t>D：新タスクの open 時刻</t>
        </is>
      </c>
      <c r="C30" s="5" t="inlineStr">
        <is>
          <t>シナリオごとに U(a,b)</t>
        </is>
      </c>
      <c r="D30" s="6" t="inlineStr">
        <is>
          <t>ECS の起動所要時間の実測が無いため、想定される範囲を5パターン提示</t>
        </is>
      </c>
    </row>
    <row r="31" ht="32" customHeight="1">
      <c r="A31" s="7" t="inlineStr">
        <is>
          <t>4</t>
        </is>
      </c>
      <c r="B31" s="8" t="inlineStr">
        <is>
          <t>G：rename〜create の隙間</t>
        </is>
      </c>
      <c r="C31" s="7" t="inlineStr">
        <is>
          <t>2 ミリ秒</t>
        </is>
      </c>
      <c r="D31" s="8" t="inlineStr">
        <is>
          <t>EFS メタデータ往復 約1ms × 2操作 という推定。★実測値ではありません</t>
        </is>
      </c>
    </row>
    <row r="32" ht="32" customHeight="1">
      <c r="A32" s="5" t="inlineStr">
        <is>
          <t>5</t>
        </is>
      </c>
      <c r="B32" s="6" t="inlineStr">
        <is>
          <t>旧タスクが新タスクより後に回転する確率</t>
        </is>
      </c>
      <c r="C32" s="5" t="inlineStr">
        <is>
          <t>0.5</t>
        </is>
      </c>
      <c r="D32" s="6" t="inlineStr">
        <is>
          <t>両タスクの書き込み位相が独立という仮定</t>
        </is>
      </c>
    </row>
    <row r="33" ht="32" customHeight="1">
      <c r="A33" s="7" t="inlineStr">
        <is>
          <t>6</t>
        </is>
      </c>
      <c r="B33" s="8" t="inlineStr">
        <is>
          <t>年間デプロイ回数</t>
        </is>
      </c>
      <c r="C33" s="7" t="inlineStr">
        <is>
          <t>365 回</t>
        </is>
      </c>
      <c r="D33" s="8" t="inlineStr">
        <is>
          <t>毎日0時にデプロイする前提</t>
        </is>
      </c>
    </row>
    <row r="35">
      <c r="A35" s="2" t="inlineStr">
        <is>
          <t>これらのパラメータは 05_発生確率モデル シートの黄色いセルで編集でき、変更すると確率と年間回数が自動で再計算されます。実環境の起動時間を計測して差し替えてください。</t>
        </is>
      </c>
    </row>
  </sheetData>
  <mergeCells count="5">
    <mergeCell ref="A1:D1"/>
    <mergeCell ref="A35:D35"/>
    <mergeCell ref="A26:D26"/>
    <mergeCell ref="A3:D3"/>
    <mergeCell ref="A16:D1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2026-09-18T14:20:24Z</dcterms:created>
  <dcterms:modified xmlns:dcterms="http://purl.org/dc/terms/" xmlns:xsi="http://www.w3.org/2001/XMLSchema-instance" xsi:type="dcterms:W3CDTF">2026-09-18T14:20:25Z</dcterms:modified>
</cp:coreProperties>
</file>